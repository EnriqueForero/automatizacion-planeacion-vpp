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roexportcol-my.sharepoint.com/personal/nforero_procolombia_co/Documents/Escritorio/b. Metas 2023/2026/a. Projects/Automatización VPP/"/>
    </mc:Choice>
  </mc:AlternateContent>
  <xr:revisionPtr revIDLastSave="16" documentId="11_7C9DF7061BAB85950DEB6E5AF2A60605DBECBCAD" xr6:coauthVersionLast="47" xr6:coauthVersionMax="47" xr10:uidLastSave="{05B9441A-BF22-4CC1-873C-0A61A7C3CC18}"/>
  <bookViews>
    <workbookView xWindow="-110" yWindow="-110" windowWidth="19420" windowHeight="11500" tabRatio="801" activeTab="2" xr2:uid="{00000000-000D-0000-FFFF-FFFF00000000}"/>
  </bookViews>
  <sheets>
    <sheet name="INSTRUCCIONES" sheetId="1" r:id="rId1"/>
    <sheet name="CONFIGURACIÓN" sheetId="2" r:id="rId2"/>
    <sheet name="DOFA" sheetId="3" r:id="rId3"/>
    <sheet name="TENDENCIAS" sheetId="4" r:id="rId4"/>
    <sheet name="LÍNEA ESTRATÉGICA 1" sheetId="5" r:id="rId5"/>
    <sheet name="LÍNEA ESTRATÉGICA 2" sheetId="6" r:id="rId6"/>
    <sheet name="LÍNEA ESTRATÉGICA 3" sheetId="7" r:id="rId7"/>
    <sheet name="CASOS DE ÉXITO" sheetId="8" r:id="rId8"/>
    <sheet name="METAS GENERALES" sheetId="9" r:id="rId9"/>
    <sheet name="MONITOREO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10" l="1"/>
  <c r="D17" i="10" s="1"/>
  <c r="B17" i="10"/>
  <c r="C16" i="10"/>
  <c r="D16" i="10" s="1"/>
  <c r="B16" i="10"/>
  <c r="C15" i="10"/>
  <c r="D15" i="10" s="1"/>
  <c r="B15" i="10"/>
  <c r="C14" i="10"/>
  <c r="D14" i="10" s="1"/>
  <c r="B14" i="10"/>
  <c r="C13" i="10"/>
  <c r="D13" i="10" s="1"/>
  <c r="B13" i="10"/>
  <c r="C12" i="10"/>
  <c r="D12" i="10" s="1"/>
  <c r="B12" i="10"/>
  <c r="D11" i="10"/>
  <c r="C11" i="10"/>
  <c r="B11" i="10"/>
  <c r="D10" i="10"/>
  <c r="C10" i="10"/>
  <c r="B10" i="10"/>
  <c r="D9" i="10"/>
  <c r="C9" i="10"/>
  <c r="B9" i="10"/>
  <c r="D8" i="10"/>
  <c r="C8" i="10"/>
  <c r="B8" i="10"/>
  <c r="D7" i="10"/>
  <c r="C7" i="10"/>
  <c r="B7" i="10"/>
  <c r="D6" i="10"/>
  <c r="C6" i="10"/>
  <c r="B6" i="10"/>
  <c r="C5" i="10"/>
  <c r="B5" i="10"/>
  <c r="D5" i="10" s="1"/>
  <c r="D19" i="10" s="1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</calcChain>
</file>

<file path=xl/sharedStrings.xml><?xml version="1.0" encoding="utf-8"?>
<sst xmlns="http://schemas.openxmlformats.org/spreadsheetml/2006/main" count="356" uniqueCount="263">
  <si>
    <t>MATRIZ DE CAPTURA — SEGUIMIENTO TRIMESTRAL</t>
  </si>
  <si>
    <t>ProColombia — Subdirección de Planeación</t>
  </si>
  <si>
    <t>¿Qué es esta matriz?</t>
  </si>
  <si>
    <t>Es el formato oficial para reportar los avances trimestrales de su Hoja de Ruta. Reemplaza el diligenciamiento directo en la presentación PowerPoint. Al completarla, la presentación se genera automáticamente.</t>
  </si>
  <si>
    <t>¿Qué hojas debo llenar?</t>
  </si>
  <si>
    <t>1) CONFIGURACIÓN → Verifique los datos de su área.
2) DOFA → Revise cada ítem y seleccione si Se mantiene, Se elimina o Se actualiza.
3) TENDENCIAS → Revise cada tendencia y actualice si corresponde.
4) LÍNEA ESTRATÉGICA 1, 2, 3 → Escriba los avances del Q en cada acción e indicador.
5) CASOS DE ÉXITO → Registre los casos destacados del trimestre.
6) METAS GENERALES → Ingrese el avance acumulado de cada meta.</t>
  </si>
  <si>
    <t>Código de colores</t>
  </si>
  <si>
    <t>🔵 Azul claro = Campo que usted debe diligenciar.
🟡 Amarillo claro = Información base de la Hoja de Ruta (no editar).
⬜ Gris = Campo automático o protegido (no editar).
🔴 Rojo claro = Campo obligatorio vacío (¡pendiente!).</t>
  </si>
  <si>
    <t>Reglas importantes</t>
  </si>
  <si>
    <t>• Los campos de avance tienen un límite de 500 caracteres. Sea conciso y estratégico.
• Los estados se seleccionan de listas desplegables, no escriba texto libre.
• No modifique la estructura de las hojas (filas, columnas, encabezados).
• La hoja MONITOREO le muestra el porcentaje de completitud en tiempo real.
• Si necesita más espacio, use la columna de Observaciones.</t>
  </si>
  <si>
    <t>¿Cuándo entregar?</t>
  </si>
  <si>
    <t>Consulte las fechas en la hoja CONFIGURACIÓN. El incumplimiento afecta el consolidado trimestral que se presenta a Presidencia.</t>
  </si>
  <si>
    <t>Soporte</t>
  </si>
  <si>
    <t>Para dudas sobre esta matriz: Subdirección de Planeación.
Para problemas técnicos con el archivo: Gerencia de Inteligencia Comercial.</t>
  </si>
  <si>
    <t>CONFIGURACIÓN GENERAL</t>
  </si>
  <si>
    <t>Trimestre en seguimiento</t>
  </si>
  <si>
    <t>Q4</t>
  </si>
  <si>
    <t>Año</t>
  </si>
  <si>
    <t>2025</t>
  </si>
  <si>
    <t>Tipo de unidad</t>
  </si>
  <si>
    <t>EJE</t>
  </si>
  <si>
    <t>Nombre de la unidad</t>
  </si>
  <si>
    <t>VP Exportaciones</t>
  </si>
  <si>
    <t>Fecha de envío lineamientos</t>
  </si>
  <si>
    <t>2026-01-15</t>
  </si>
  <si>
    <t>Fecha límite diligenciamiento</t>
  </si>
  <si>
    <t>2026-02-15</t>
  </si>
  <si>
    <t>SEGUIMIENTO DOFA</t>
  </si>
  <si>
    <t>La columna B contiene la información original de la Hoja de Ruta. En C seleccione el estado. Si actualiza, escriba en D.</t>
  </si>
  <si>
    <t>Cuadrante</t>
  </si>
  <si>
    <t>Información Hoja de Ruta (Base)</t>
  </si>
  <si>
    <t>Estado Seguimiento</t>
  </si>
  <si>
    <t>Actualización / Cambio</t>
  </si>
  <si>
    <t>DEBILIDADES</t>
  </si>
  <si>
    <t>DEB-1</t>
  </si>
  <si>
    <t>Planeación estratégica a corto plazo.</t>
  </si>
  <si>
    <t>Se mantiene</t>
  </si>
  <si>
    <t>DEB-2</t>
  </si>
  <si>
    <t>Desconexión entre indicadores corporativos y actividades operativas.</t>
  </si>
  <si>
    <t>DEB-3</t>
  </si>
  <si>
    <t>Dificultades para medir el impacto de los servicios empresariales.</t>
  </si>
  <si>
    <t>Se actualiza</t>
  </si>
  <si>
    <t>Se avanzó en la implementación de nuevas métricas de impacto con apoyo de GIC.</t>
  </si>
  <si>
    <t>DEB-4</t>
  </si>
  <si>
    <t>Desarticulación entre iniciativas de las diferentes áreas y ejes estratégicos.</t>
  </si>
  <si>
    <t>DEB-5</t>
  </si>
  <si>
    <t>Disparidades en el conocimiento del equipo sobre procesos técnicos.</t>
  </si>
  <si>
    <t>DEB-6</t>
  </si>
  <si>
    <t>Incertidumbre en los procesos de selección y promoción interna.</t>
  </si>
  <si>
    <t>Se elimina</t>
  </si>
  <si>
    <t>DEB-7</t>
  </si>
  <si>
    <t>Vacantes prolongadas (Brasil, Ecuador, Bogotá, Argentina).</t>
  </si>
  <si>
    <t>Se cubrieron vacantes en Brasil y Argentina; persisten en Ecuador.</t>
  </si>
  <si>
    <t>DEB-8</t>
  </si>
  <si>
    <t>Falta de un sistema robusto de inducción y capacitación.</t>
  </si>
  <si>
    <t>DEB-9</t>
  </si>
  <si>
    <t>Oportunidades de mejora en la atención al usuario.</t>
  </si>
  <si>
    <t>DEB-10</t>
  </si>
  <si>
    <t>Desarrollo insuficiente de tecnologías y plataformas digitales.</t>
  </si>
  <si>
    <t>Plataforma Matchmaking en fase piloto con +700 empresas registradas.</t>
  </si>
  <si>
    <t>OPORTUNIDADES</t>
  </si>
  <si>
    <t>OPO-1</t>
  </si>
  <si>
    <t>Mejora en la articulación con aliados nacionales e internacionales.</t>
  </si>
  <si>
    <t>OPO-2</t>
  </si>
  <si>
    <t>Aumento de la presencia comercial de Colombia en escenarios globales.</t>
  </si>
  <si>
    <t>OPO-3</t>
  </si>
  <si>
    <t>Aumentar la confianza del tejido empresarial colombiano en ProColombia.</t>
  </si>
  <si>
    <t>OPO-4</t>
  </si>
  <si>
    <t>Presencia sólida en mercados internacionales y regiones estratégicas.</t>
  </si>
  <si>
    <t>OPO-5</t>
  </si>
  <si>
    <t>Sinergia con el área de inversión para atraer oportunidades.</t>
  </si>
  <si>
    <t>Se fortaleció la sinergia con VP Inversión en la MCR Bioexpo 2025 Pasto.</t>
  </si>
  <si>
    <t>OPO-6</t>
  </si>
  <si>
    <t>Posibilidad de monetizar los servicios ofrecidos.</t>
  </si>
  <si>
    <t>OPO-7</t>
  </si>
  <si>
    <t>Posicionamiento internacional de la marca país.</t>
  </si>
  <si>
    <t>OPO-8</t>
  </si>
  <si>
    <t>OPO-9</t>
  </si>
  <si>
    <t>OPO-10</t>
  </si>
  <si>
    <t>FORTALEZAS</t>
  </si>
  <si>
    <t>FOR-1</t>
  </si>
  <si>
    <t>Reconocimiento institucional en el sector empresarial y gremial.</t>
  </si>
  <si>
    <t>FOR-2</t>
  </si>
  <si>
    <t>Extensas bases de datos e información de mercado.</t>
  </si>
  <si>
    <t>FOR-3</t>
  </si>
  <si>
    <t>Atención personalizada y adaptada a las necesidades de cada empresario.</t>
  </si>
  <si>
    <t>FOR-4</t>
  </si>
  <si>
    <t>Equipo comprometido y experimentado.</t>
  </si>
  <si>
    <t>FOR-5</t>
  </si>
  <si>
    <t>Apoyo técnico y comercial de la Gerencia de Inteligencia Comercial.</t>
  </si>
  <si>
    <t>FOR-6</t>
  </si>
  <si>
    <t>Colaboración sólida con entidades de cooperación internacional.</t>
  </si>
  <si>
    <t>FOR-7</t>
  </si>
  <si>
    <t>Sistema de Gestión de Calidad robusto.</t>
  </si>
  <si>
    <t>FOR-8</t>
  </si>
  <si>
    <t>Formación y capacitación continua para el sector exportador.</t>
  </si>
  <si>
    <t>FOR-9</t>
  </si>
  <si>
    <t>FOR-10</t>
  </si>
  <si>
    <t>AMENAZAS</t>
  </si>
  <si>
    <t>AME-1</t>
  </si>
  <si>
    <t>Aplazamiento de asignación de recursos financieros.</t>
  </si>
  <si>
    <t>AME-2</t>
  </si>
  <si>
    <t>Impacto de las políticas gubernamentales en la actividad empresarial.</t>
  </si>
  <si>
    <t>AME-3</t>
  </si>
  <si>
    <t>Incertidumbre sobre la continuidad de lineamientos del Gobierno.</t>
  </si>
  <si>
    <t>AME-4</t>
  </si>
  <si>
    <t>Riesgo reputacional por pérdida de capacidades técnicas y comerciales.</t>
  </si>
  <si>
    <t>Salida de asesores multieje generó suspensión de actividades en regiones.</t>
  </si>
  <si>
    <t>AME-5</t>
  </si>
  <si>
    <t>Procesos de contratación con tiempos inciertos y prolongados.</t>
  </si>
  <si>
    <t>AME-6</t>
  </si>
  <si>
    <t>Dependencia de recursos de terceros.</t>
  </si>
  <si>
    <t>AME-7</t>
  </si>
  <si>
    <t>AME-8</t>
  </si>
  <si>
    <t>AME-9</t>
  </si>
  <si>
    <t>AME-10</t>
  </si>
  <si>
    <t>SEGUIMIENTO TENDENCIAS GENERALES</t>
  </si>
  <si>
    <t>Describa las tendencias del entorno relevantes para esta unidad en el trimestre.</t>
  </si>
  <si>
    <t>#</t>
  </si>
  <si>
    <t>Tendencia Hoja de Ruta (Base)</t>
  </si>
  <si>
    <t>Estado</t>
  </si>
  <si>
    <t>Actualización</t>
  </si>
  <si>
    <t>Diferencias geopolíticas provocan fragmentación en la IED global.</t>
  </si>
  <si>
    <t>Inversión transfronteriza en servicios en aumento; manufacturas rezagadas.</t>
  </si>
  <si>
    <t>IED en energía eólica y solar como sector de más rápido crecimiento.</t>
  </si>
  <si>
    <t>Nearshoring como oportunidad clave para Colombia en las Américas.</t>
  </si>
  <si>
    <t>Tendencia confirmada con crecimiento de exportaciones a EE.UU. y LATAM.</t>
  </si>
  <si>
    <t>Crecimiento de exportaciones hacia Asia (+64%), África (+238%), Europa (+9%).</t>
  </si>
  <si>
    <t>Datos consolidados al cierre Q4 2025.</t>
  </si>
  <si>
    <t>LÍNEA ESTRATÉGICA 1</t>
  </si>
  <si>
    <t>Nombre de la línea:</t>
  </si>
  <si>
    <t>Promover la canasta exportable de bienes y servicios No Minero Energéticos enfocados en el valor agregado y la sostenibilidad.</t>
  </si>
  <si>
    <t>ACCIONES Y ACTIVIDADES</t>
  </si>
  <si>
    <t>Acción (Hoja de Ruta)</t>
  </si>
  <si>
    <t>Actividades Clave (Hoja de Ruta)</t>
  </si>
  <si>
    <t>Avance del Q (texto)</t>
  </si>
  <si>
    <t>Apoyo a empresarios en actividades de promoción</t>
  </si>
  <si>
    <t>Ferias, ruedas, macrorruedas, showrooms</t>
  </si>
  <si>
    <t>Se apoyó a empresarios en ferias internacionales, ruedas de negocios con resultados concretos en ventas.</t>
  </si>
  <si>
    <t>En progreso</t>
  </si>
  <si>
    <t>Organización de actividades comerciales masivas y especializadas</t>
  </si>
  <si>
    <t>MCR, showrooms multicadena</t>
  </si>
  <si>
    <t>Macrorrueda Bioexpo 2025 Pasto: 84 exportadores, 34 compradores. Ventas+expectativas USD 6,4M.</t>
  </si>
  <si>
    <t>Completada</t>
  </si>
  <si>
    <t>Actividades de promoción con embajadas</t>
  </si>
  <si>
    <t>Coordinación con misiones diplomáticas</t>
  </si>
  <si>
    <t>ANUGA 2025 con Embajada en Alemania. Showroom construcción en Aruba con Cónsul.</t>
  </si>
  <si>
    <t>Impulsar agroindustria y soberanía alimentaria</t>
  </si>
  <si>
    <t>Ferias agroalimentarias</t>
  </si>
  <si>
    <t>Fruit Attraction, IFPA, Anuga 2025. Rueda de Cacao y Chocolate con 8 compradores.</t>
  </si>
  <si>
    <t>Promover exportaciones con prácticas sostenibles</t>
  </si>
  <si>
    <t>Posicionar oferta sostenible</t>
  </si>
  <si>
    <t>DYNAMO: USD 6M con Amazon España. Estrategia GREENAMO. Empresas VERDI, FIBRA CARPETS.</t>
  </si>
  <si>
    <t>Búsqueda y seguimiento de oportunidades de negocio</t>
  </si>
  <si>
    <t>+350 exportadores apoyados</t>
  </si>
  <si>
    <t>Industrias 4.0: +350 exportadores. Sistema Moda: 936 empresas con 70 países.</t>
  </si>
  <si>
    <t>Desarrollo de plataformas digitales</t>
  </si>
  <si>
    <t>Plataforma Matchmaking</t>
  </si>
  <si>
    <t>Matchmaking en fase piloto con +700 empresas exportadoras registradas.</t>
  </si>
  <si>
    <t>Priorizar sectores y mercados internacionales</t>
  </si>
  <si>
    <t>Focalización estratégica</t>
  </si>
  <si>
    <t>Industrias 4.0, Químicos y Ciencias de la Vida, Metalmecánica en Europa, Norteamérica, LATAM.</t>
  </si>
  <si>
    <t>INDICADORES DE ÉXITO / RESULTADOS</t>
  </si>
  <si>
    <t>Indicador</t>
  </si>
  <si>
    <t>Meta 2026</t>
  </si>
  <si>
    <t>Avance Acumulado Q</t>
  </si>
  <si>
    <t>Observaciones</t>
  </si>
  <si>
    <t>Nuevas oportunidades de exportaciones etapas 1 y 4</t>
  </si>
  <si>
    <t>16435</t>
  </si>
  <si>
    <t>20361</t>
  </si>
  <si>
    <t>Superado</t>
  </si>
  <si>
    <t>Nuevas empresas con oportunidades (1-4)</t>
  </si>
  <si>
    <t>530</t>
  </si>
  <si>
    <t>1043</t>
  </si>
  <si>
    <t>Monto de negocios (USD)</t>
  </si>
  <si>
    <t>4286480</t>
  </si>
  <si>
    <t>3195958727</t>
  </si>
  <si>
    <t>Compradores con negocios</t>
  </si>
  <si>
    <t>5550</t>
  </si>
  <si>
    <t>6346</t>
  </si>
  <si>
    <t>Compradores nuevos con negocios</t>
  </si>
  <si>
    <t>2293</t>
  </si>
  <si>
    <t>3156</t>
  </si>
  <si>
    <t>Empresas exterior con servicios de exportación</t>
  </si>
  <si>
    <t>6318</t>
  </si>
  <si>
    <t>5961</t>
  </si>
  <si>
    <t>Empresas con negocios</t>
  </si>
  <si>
    <t>3330</t>
  </si>
  <si>
    <t>3392</t>
  </si>
  <si>
    <t>Empresas con negocios (Mipymes)</t>
  </si>
  <si>
    <t>2000</t>
  </si>
  <si>
    <t>2753</t>
  </si>
  <si>
    <t>LÍNEA ESTRATÉGICA 2</t>
  </si>
  <si>
    <t>Apoyar la diversificación de exportaciones No Minero Energéticas con enfoque en territorios priorizados.</t>
  </si>
  <si>
    <t>Impulsar MiPymes de los territorios</t>
  </si>
  <si>
    <t>Identificación y apoyo regional</t>
  </si>
  <si>
    <t>Suspendida por salida de asesores multieje.</t>
  </si>
  <si>
    <t>Sin avance</t>
  </si>
  <si>
    <t>Identificar nuevos mercados potenciales</t>
  </si>
  <si>
    <t>Diversificación de mercados</t>
  </si>
  <si>
    <t>Posicionamiento en Corea del Sur, EAU, España, Francia. Asia +64%, África +238%.</t>
  </si>
  <si>
    <t>Acciones de promoción enfocadas en diversificación</t>
  </si>
  <si>
    <t>Ferias y misiones</t>
  </si>
  <si>
    <t>13 marcas en Aruba Fashion Week. 11 empresas al Dallas Market Center. MIPCOM Cannes.</t>
  </si>
  <si>
    <t>Estrategia de internacionalización en África</t>
  </si>
  <si>
    <t>Ella Exporta a África</t>
  </si>
  <si>
    <t>Tercera visita oficial. Agendas B2B en países priorizados con 11 empresas.</t>
  </si>
  <si>
    <t>Incremento de nuevas empresas exportando</t>
  </si>
  <si>
    <t>Acompañamiento a nuevas empresas</t>
  </si>
  <si>
    <t>244 empresas nuevas en 2025 desde Industrias 4.0. MIGS y World Animation Summit.</t>
  </si>
  <si>
    <t>LÍNEA ESTRATÉGICA 3</t>
  </si>
  <si>
    <t>Preparar la oferta exportable de la gente para su proceso de internacionalización.</t>
  </si>
  <si>
    <t>Capacitación a empresarios en procesos de exportación</t>
  </si>
  <si>
    <t>Programas de formación</t>
  </si>
  <si>
    <t>Talleres de preparación para ferias y misiones internacionales.</t>
  </si>
  <si>
    <t>Asistencia técnica en alistamiento exportador</t>
  </si>
  <si>
    <t>Acompañamiento MiPymes</t>
  </si>
  <si>
    <t>Cumplimiento de estándares internacionales en sectores priorizados.</t>
  </si>
  <si>
    <t>CASOS DE ÉXITO</t>
  </si>
  <si>
    <t>Registre los casos de éxito más destacados del trimestre (máx. 400 caracteres por descripción).</t>
  </si>
  <si>
    <t>Título del caso</t>
  </si>
  <si>
    <t>Descripción (máx 400 car.)</t>
  </si>
  <si>
    <t>Eje/Línea relacionada</t>
  </si>
  <si>
    <t>Macrorrueda Bioexpo 2025 Pasto</t>
  </si>
  <si>
    <t>84 exportadores, 34 compradores internacionales. Expectativas + ventas USD 6,4M.</t>
  </si>
  <si>
    <t>Línea 1</t>
  </si>
  <si>
    <t>DYNAMO - Amazon España</t>
  </si>
  <si>
    <t>USD 6M con Amazon España. Estrategia ambiental GREENAMO.</t>
  </si>
  <si>
    <t>Estrategia África - Tercera visita oficial</t>
  </si>
  <si>
    <t>Agendas B2B con 11 empresas colombianas en países priorizados.</t>
  </si>
  <si>
    <t>Línea 2</t>
  </si>
  <si>
    <t>Rueda Dotación Hotelera (9a edición)</t>
  </si>
  <si>
    <t>69 exportadores, 22 compradores de 11 países. Canal HORECA.</t>
  </si>
  <si>
    <t>Fase piloto con +700 empresas. Interacciones en tiempo real para 2026.</t>
  </si>
  <si>
    <t>RESUMEN DE METAS GENERALES</t>
  </si>
  <si>
    <t>Meta Anual</t>
  </si>
  <si>
    <t>Avance Acumulado</t>
  </si>
  <si>
    <t>% Avance</t>
  </si>
  <si>
    <t>Nuevas oportunidades exportaciones etapas 1 y 4</t>
  </si>
  <si>
    <t>Monto de negocios (USD miles)</t>
  </si>
  <si>
    <t>Empresas exterior con servicios exportación</t>
  </si>
  <si>
    <t>Empresas colombianas con servicios exportación</t>
  </si>
  <si>
    <t>Actividades de promoción comercial</t>
  </si>
  <si>
    <t>PANEL DE MONITOREO — COMPLETITUD</t>
  </si>
  <si>
    <t>Este panel se calcula automáticamente. No editar.</t>
  </si>
  <si>
    <t>Sección</t>
  </si>
  <si>
    <t>Ítems con datos</t>
  </si>
  <si>
    <t>Total esperado</t>
  </si>
  <si>
    <t>% Completitud</t>
  </si>
  <si>
    <t>DOFA — Estados</t>
  </si>
  <si>
    <t>Tendencias — Estados</t>
  </si>
  <si>
    <t>Línea 1 — Avances Acciones</t>
  </si>
  <si>
    <t>Línea 1 — Estados Acciones</t>
  </si>
  <si>
    <t>Línea 1 — Avance Indicadores</t>
  </si>
  <si>
    <t>Línea 2 — Avances Acciones</t>
  </si>
  <si>
    <t>Línea 2 — Estados Acciones</t>
  </si>
  <si>
    <t>Línea 2 — Avance Indicadores</t>
  </si>
  <si>
    <t>Línea 3 — Avances Acciones</t>
  </si>
  <si>
    <t>Línea 3 — Estados Acciones</t>
  </si>
  <si>
    <t>Línea 3 — Avance Indicadores</t>
  </si>
  <si>
    <t>Casos de Éxito</t>
  </si>
  <si>
    <t>Metas Generales — Avance</t>
  </si>
  <si>
    <t>COMPLETITUD GLOBAL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</si>
</sst>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"/>
    </font>
    <font>
      <b/>
      <sz val="18"/>
      <color rgb="FF1B3A5C"/>
      <name val="Calibri"/>
      <charset val="1"/>
    </font>
    <font>
      <sz val="12"/>
      <color rgb="FF666666"/>
      <name val="Calibri"/>
      <charset val="1"/>
    </font>
    <font>
      <b/>
      <sz val="11"/>
      <color rgb="FF1B3A5C"/>
      <name val="Calibri"/>
      <charset val="1"/>
    </font>
    <font>
      <sz val="10"/>
      <color rgb="FF1B3A5C"/>
      <name val="Calibri"/>
      <charset val="1"/>
    </font>
    <font>
      <b/>
      <sz val="14"/>
      <color rgb="FFFFFFFF"/>
      <name val="Calibri"/>
      <charset val="1"/>
    </font>
    <font>
      <b/>
      <sz val="10"/>
      <color rgb="FF333333"/>
      <name val="Calibri"/>
      <charset val="1"/>
    </font>
    <font>
      <sz val="10"/>
      <color rgb="FF333333"/>
      <name val="Calibri"/>
      <charset val="1"/>
    </font>
    <font>
      <i/>
      <sz val="9"/>
      <color rgb="FF666666"/>
      <name val="Calibri"/>
      <charset val="1"/>
    </font>
    <font>
      <b/>
      <sz val="10"/>
      <color rgb="FFFFFFFF"/>
      <name val="Calibri"/>
      <charset val="1"/>
    </font>
    <font>
      <b/>
      <sz val="10"/>
      <color rgb="FF27AE60"/>
      <name val="Calibri"/>
      <charset val="1"/>
    </font>
    <font>
      <b/>
      <sz val="12"/>
      <color rgb="FF1B3A5C"/>
      <name val="Calibri"/>
      <charset val="1"/>
    </font>
    <font>
      <b/>
      <sz val="14"/>
      <color rgb="FF1B3A5C"/>
      <name val="Calibri"/>
      <charset val="1"/>
    </font>
  </fonts>
  <fills count="12">
    <fill>
      <patternFill patternType="none"/>
    </fill>
    <fill>
      <patternFill patternType="gray125"/>
    </fill>
    <fill>
      <patternFill patternType="solid">
        <fgColor rgb="FF1B3A5C"/>
        <bgColor rgb="FF34495E"/>
      </patternFill>
    </fill>
    <fill>
      <patternFill patternType="solid">
        <fgColor rgb="FFF2F2F2"/>
        <bgColor rgb="FFE8F4FD"/>
      </patternFill>
    </fill>
    <fill>
      <patternFill patternType="solid">
        <fgColor rgb="FFE8F4FD"/>
        <bgColor rgb="FFF2F2F2"/>
      </patternFill>
    </fill>
    <fill>
      <patternFill patternType="solid">
        <fgColor rgb="FF2E6DA4"/>
        <bgColor rgb="FF3366FF"/>
      </patternFill>
    </fill>
    <fill>
      <patternFill patternType="solid">
        <fgColor rgb="FFC0392B"/>
        <bgColor rgb="FF993366"/>
      </patternFill>
    </fill>
    <fill>
      <patternFill patternType="solid">
        <fgColor rgb="FFFFF9E6"/>
        <bgColor rgb="FFFEF9E7"/>
      </patternFill>
    </fill>
    <fill>
      <patternFill patternType="solid">
        <fgColor rgb="FF27AE60"/>
        <bgColor rgb="FF008080"/>
      </patternFill>
    </fill>
    <fill>
      <patternFill patternType="solid">
        <fgColor rgb="FFF39C12"/>
        <bgColor rgb="FFFFCC00"/>
      </patternFill>
    </fill>
    <fill>
      <patternFill patternType="solid">
        <fgColor rgb="FF34495E"/>
        <bgColor rgb="FF1B3A5C"/>
      </patternFill>
    </fill>
    <fill>
      <patternFill patternType="solid">
        <fgColor rgb="FFFFFFFF"/>
        <bgColor rgb="FFFEF9E7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6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 applyProtection="1">
      <alignment vertical="top" wrapText="1"/>
      <protection locked="0"/>
    </xf>
    <xf numFmtId="0" fontId="9" fillId="5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6" fillId="0" borderId="0" xfId="0" applyFont="1"/>
    <xf numFmtId="0" fontId="9" fillId="10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164" fontId="10" fillId="3" borderId="1" xfId="0" applyNumberFormat="1" applyFont="1" applyFill="1" applyBorder="1" applyAlignment="1">
      <alignment vertical="top" wrapText="1"/>
    </xf>
    <xf numFmtId="0" fontId="6" fillId="11" borderId="1" xfId="0" applyFont="1" applyFill="1" applyBorder="1" applyAlignment="1">
      <alignment vertical="top" wrapText="1"/>
    </xf>
    <xf numFmtId="0" fontId="10" fillId="3" borderId="1" xfId="0" applyFont="1" applyFill="1" applyBorder="1" applyAlignment="1">
      <alignment horizontal="center" vertical="center" wrapText="1"/>
    </xf>
    <xf numFmtId="9" fontId="3" fillId="3" borderId="1" xfId="0" applyNumberFormat="1" applyFont="1" applyFill="1" applyBorder="1" applyAlignment="1">
      <alignment horizontal="center" vertical="center" wrapText="1"/>
    </xf>
    <xf numFmtId="9" fontId="1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horizontal="left"/>
    </xf>
    <xf numFmtId="0" fontId="2" fillId="0" borderId="0" xfId="0" applyFont="1"/>
    <xf numFmtId="0" fontId="5" fillId="2" borderId="0" xfId="0" applyFont="1" applyFill="1"/>
    <xf numFmtId="0" fontId="9" fillId="9" borderId="0" xfId="0" applyFont="1" applyFill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9" fillId="6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8" fillId="0" borderId="0" xfId="0" applyFont="1"/>
    <xf numFmtId="0" fontId="3" fillId="4" borderId="2" xfId="0" applyFont="1" applyFill="1" applyBorder="1" applyAlignment="1" applyProtection="1">
      <alignment vertical="top" wrapText="1"/>
      <protection locked="0"/>
    </xf>
    <xf numFmtId="0" fontId="9" fillId="5" borderId="0" xfId="0" applyFont="1" applyFill="1"/>
    <xf numFmtId="0" fontId="11" fillId="0" borderId="0" xfId="0" applyFont="1"/>
  </cellXfs>
  <cellStyles count="1">
    <cellStyle name="Normal" xfId="0" builtinId="0"/>
  </cellStyles>
  <dxfs count="22">
    <dxf>
      <fill>
        <patternFill>
          <bgColor rgb="FFFADBD8"/>
        </patternFill>
      </fill>
    </dxf>
    <dxf>
      <fill>
        <patternFill>
          <bgColor rgb="FFFEF9E7"/>
        </patternFill>
      </fill>
    </dxf>
    <dxf>
      <fill>
        <patternFill>
          <bgColor rgb="FFD5F5E3"/>
        </patternFill>
      </fill>
    </dxf>
    <dxf>
      <fill>
        <patternFill>
          <bgColor rgb="FFFADBD8"/>
        </patternFill>
      </fill>
    </dxf>
    <dxf>
      <fill>
        <patternFill>
          <bgColor rgb="FFFEF9E7"/>
        </patternFill>
      </fill>
    </dxf>
    <dxf>
      <fill>
        <patternFill>
          <bgColor rgb="FFD5F5E3"/>
        </patternFill>
      </fill>
    </dxf>
    <dxf>
      <fill>
        <patternFill>
          <bgColor rgb="FFFADBD8"/>
        </patternFill>
      </fill>
    </dxf>
    <dxf>
      <fill>
        <patternFill>
          <bgColor rgb="FFFADBD8"/>
        </patternFill>
      </fill>
    </dxf>
    <dxf>
      <fill>
        <patternFill>
          <bgColor rgb="FFFADBD8"/>
        </patternFill>
      </fill>
    </dxf>
    <dxf>
      <fill>
        <patternFill>
          <bgColor rgb="FFD5F5E3"/>
        </patternFill>
      </fill>
    </dxf>
    <dxf>
      <fill>
        <patternFill>
          <bgColor rgb="FFFADBD8"/>
        </patternFill>
      </fill>
    </dxf>
    <dxf>
      <fill>
        <patternFill>
          <bgColor rgb="FFFADBD8"/>
        </patternFill>
      </fill>
    </dxf>
    <dxf>
      <fill>
        <patternFill>
          <bgColor rgb="FFFADBD8"/>
        </patternFill>
      </fill>
    </dxf>
    <dxf>
      <fill>
        <patternFill>
          <bgColor rgb="FFD5F5E3"/>
        </patternFill>
      </fill>
    </dxf>
    <dxf>
      <fill>
        <patternFill>
          <bgColor rgb="FFFADBD8"/>
        </patternFill>
      </fill>
    </dxf>
    <dxf>
      <fill>
        <patternFill>
          <bgColor rgb="FFFADBD8"/>
        </patternFill>
      </fill>
    </dxf>
    <dxf>
      <fill>
        <patternFill>
          <bgColor rgb="FFFADBD8"/>
        </patternFill>
      </fill>
    </dxf>
    <dxf>
      <fill>
        <patternFill>
          <bgColor rgb="FFD5F5E3"/>
        </patternFill>
      </fill>
    </dxf>
    <dxf>
      <fill>
        <patternFill>
          <bgColor rgb="FFFADBD8"/>
        </patternFill>
      </fill>
    </dxf>
    <dxf>
      <fill>
        <patternFill>
          <bgColor rgb="FFFADBD8"/>
        </patternFill>
      </fill>
    </dxf>
    <dxf>
      <fill>
        <patternFill>
          <bgColor rgb="FFFADBD8"/>
        </patternFill>
      </fill>
    </dxf>
    <dxf>
      <fill>
        <patternFill>
          <bgColor rgb="FFFADBD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FF9E6"/>
      <rgbColor rgb="FFE8F4FD"/>
      <rgbColor rgb="FF660066"/>
      <rgbColor rgb="FFFF8080"/>
      <rgbColor rgb="FF2E6DA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F5E3"/>
      <rgbColor rgb="FFFEF9E7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39C12"/>
      <rgbColor rgb="FFFF6600"/>
      <rgbColor rgb="FF666666"/>
      <rgbColor rgb="FF969696"/>
      <rgbColor rgb="FF1B3A5C"/>
      <rgbColor rgb="FF27AE60"/>
      <rgbColor rgb="FF003300"/>
      <rgbColor rgb="FF333300"/>
      <rgbColor rgb="FFC0392B"/>
      <rgbColor rgb="FF993366"/>
      <rgbColor rgb="FF34495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topLeftCell="A9" zoomScaleNormal="100" workbookViewId="0">
      <selection activeCell="F8" sqref="F8"/>
    </sheetView>
  </sheetViews>
  <sheetFormatPr baseColWidth="10" defaultColWidth="8.6328125" defaultRowHeight="14.5" x14ac:dyDescent="0.35"/>
  <cols>
    <col min="1" max="1" width="4" customWidth="1"/>
    <col min="2" max="2" width="30" customWidth="1"/>
    <col min="3" max="3" width="70" customWidth="1"/>
    <col min="4" max="4" width="4" customWidth="1"/>
  </cols>
  <sheetData>
    <row r="2" spans="2:3" ht="21.75" customHeight="1" x14ac:dyDescent="0.55000000000000004">
      <c r="B2" s="16" t="s">
        <v>0</v>
      </c>
      <c r="C2" s="16"/>
    </row>
    <row r="3" spans="2:3" ht="15" customHeight="1" x14ac:dyDescent="0.35">
      <c r="B3" s="17" t="s">
        <v>1</v>
      </c>
      <c r="C3" s="17"/>
    </row>
    <row r="5" spans="2:3" ht="15" customHeight="1" x14ac:dyDescent="0.35">
      <c r="B5" s="1" t="s">
        <v>2</v>
      </c>
      <c r="C5" s="15" t="s">
        <v>3</v>
      </c>
    </row>
    <row r="6" spans="2:3" ht="28.5" customHeight="1" x14ac:dyDescent="0.35">
      <c r="C6" s="15"/>
    </row>
    <row r="8" spans="2:3" ht="15" customHeight="1" x14ac:dyDescent="0.35">
      <c r="B8" s="1" t="s">
        <v>4</v>
      </c>
      <c r="C8" s="15" t="s">
        <v>5</v>
      </c>
    </row>
    <row r="9" spans="2:3" ht="53" customHeight="1" x14ac:dyDescent="0.35">
      <c r="C9" s="15"/>
    </row>
    <row r="11" spans="2:3" ht="20" customHeight="1" x14ac:dyDescent="0.35">
      <c r="B11" s="1" t="s">
        <v>6</v>
      </c>
      <c r="C11" s="15" t="s">
        <v>7</v>
      </c>
    </row>
    <row r="12" spans="2:3" ht="37" customHeight="1" x14ac:dyDescent="0.35">
      <c r="C12" s="15"/>
    </row>
    <row r="14" spans="2:3" ht="15" customHeight="1" x14ac:dyDescent="0.35">
      <c r="B14" s="1" t="s">
        <v>8</v>
      </c>
      <c r="C14" s="15" t="s">
        <v>9</v>
      </c>
    </row>
    <row r="15" spans="2:3" x14ac:dyDescent="0.35">
      <c r="C15" s="15"/>
    </row>
    <row r="17" spans="2:3" ht="15" customHeight="1" x14ac:dyDescent="0.35">
      <c r="B17" s="1" t="s">
        <v>10</v>
      </c>
      <c r="C17" s="15" t="s">
        <v>11</v>
      </c>
    </row>
    <row r="18" spans="2:3" ht="15" customHeight="1" x14ac:dyDescent="0.35">
      <c r="C18" s="15"/>
    </row>
    <row r="20" spans="2:3" ht="15" customHeight="1" x14ac:dyDescent="0.35">
      <c r="B20" s="1" t="s">
        <v>12</v>
      </c>
      <c r="C20" s="15" t="s">
        <v>13</v>
      </c>
    </row>
    <row r="21" spans="2:3" ht="15" customHeight="1" x14ac:dyDescent="0.35">
      <c r="C21" s="15"/>
    </row>
  </sheetData>
  <sheetProtection algorithmName="SHA-512" hashValue="1LiU0FJP30ng3BVynJf2sSZevp5oeVWVEdt8djsLVA/LpmCR/JgXJGdSFQ/VjXbFtuEbsDLIH1sbICi4I+hwZQ==" saltValue="MBHGXME94nBzj+1eJdGNgg==" spinCount="100000" sheet="1"/>
  <mergeCells count="8">
    <mergeCell ref="C14:C15"/>
    <mergeCell ref="C17:C18"/>
    <mergeCell ref="C20:C21"/>
    <mergeCell ref="B2:C2"/>
    <mergeCell ref="B3:C3"/>
    <mergeCell ref="C5:C6"/>
    <mergeCell ref="C8:C9"/>
    <mergeCell ref="C11:C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zoomScaleNormal="100" workbookViewId="0">
      <selection activeCell="C10" sqref="C10"/>
    </sheetView>
  </sheetViews>
  <sheetFormatPr baseColWidth="10" defaultColWidth="8.6328125" defaultRowHeight="14.5" x14ac:dyDescent="0.35"/>
  <cols>
    <col min="1" max="1" width="35" customWidth="1"/>
    <col min="2" max="2" width="40" customWidth="1"/>
    <col min="3" max="3" width="25" customWidth="1"/>
    <col min="4" max="4" width="5" customWidth="1"/>
  </cols>
  <sheetData>
    <row r="1" spans="1:2" ht="17.25" customHeight="1" x14ac:dyDescent="0.45">
      <c r="A1" s="18" t="s">
        <v>14</v>
      </c>
      <c r="B1" s="18"/>
    </row>
    <row r="3" spans="1:2" ht="15" customHeight="1" x14ac:dyDescent="0.35">
      <c r="A3" s="2" t="s">
        <v>15</v>
      </c>
      <c r="B3" s="3" t="s">
        <v>16</v>
      </c>
    </row>
    <row r="4" spans="1:2" ht="15" customHeight="1" x14ac:dyDescent="0.35">
      <c r="A4" s="2" t="s">
        <v>17</v>
      </c>
      <c r="B4" s="3" t="s">
        <v>18</v>
      </c>
    </row>
    <row r="5" spans="1:2" ht="15" customHeight="1" x14ac:dyDescent="0.35">
      <c r="A5" s="2" t="s">
        <v>19</v>
      </c>
      <c r="B5" s="3" t="s">
        <v>20</v>
      </c>
    </row>
    <row r="6" spans="1:2" ht="15" customHeight="1" x14ac:dyDescent="0.35">
      <c r="A6" s="2" t="s">
        <v>21</v>
      </c>
      <c r="B6" s="3" t="s">
        <v>22</v>
      </c>
    </row>
    <row r="7" spans="1:2" ht="15" customHeight="1" x14ac:dyDescent="0.35">
      <c r="A7" s="2" t="s">
        <v>23</v>
      </c>
      <c r="B7" s="3" t="s">
        <v>24</v>
      </c>
    </row>
    <row r="8" spans="1:2" ht="15" customHeight="1" x14ac:dyDescent="0.35">
      <c r="A8" s="2" t="s">
        <v>25</v>
      </c>
      <c r="B8" s="3" t="s">
        <v>26</v>
      </c>
    </row>
  </sheetData>
  <sheetProtection password="B08D" sheet="1"/>
  <mergeCells count="1">
    <mergeCell ref="A1:B1"/>
  </mergeCells>
  <dataValidations count="2">
    <dataValidation type="list" errorTitle="Trimestre inválido" error="Seleccione un trimestre válido (Q1-Q4)" promptTitle="Trimestre" prompt="Seleccione el trimestre" sqref="B3" xr:uid="{00000000-0002-0000-0100-000000000000}">
      <formula1>"Q1,Q2,Q3,Q4"</formula1>
      <formula2>0</formula2>
    </dataValidation>
    <dataValidation type="list" error="Seleccione un tipo de unidad válido" sqref="B5" xr:uid="{00000000-0002-0000-0100-000001000000}">
      <formula1>"EJE,TRANSVERSAL,OFIREG,OFICOM,HUB,MARCA PAÍS"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8"/>
  <sheetViews>
    <sheetView tabSelected="1" zoomScaleNormal="100" workbookViewId="0">
      <pane ySplit="4" topLeftCell="A5" activePane="bottomLeft" state="frozen"/>
      <selection pane="bottomLeft" activeCell="B6" sqref="B6"/>
    </sheetView>
  </sheetViews>
  <sheetFormatPr baseColWidth="10" defaultColWidth="8.6328125" defaultRowHeight="14.5" x14ac:dyDescent="0.35"/>
  <cols>
    <col min="1" max="1" width="14" customWidth="1"/>
    <col min="2" max="2" width="55" customWidth="1"/>
    <col min="3" max="3" width="20" customWidth="1"/>
    <col min="4" max="4" width="55" customWidth="1"/>
  </cols>
  <sheetData>
    <row r="1" spans="1:4" ht="17.25" customHeight="1" x14ac:dyDescent="0.45">
      <c r="A1" s="18" t="s">
        <v>27</v>
      </c>
      <c r="B1" s="18"/>
      <c r="C1" s="18"/>
      <c r="D1" s="18"/>
    </row>
    <row r="2" spans="1:4" ht="15" customHeight="1" x14ac:dyDescent="0.35">
      <c r="A2" s="20" t="s">
        <v>28</v>
      </c>
      <c r="B2" s="20"/>
      <c r="C2" s="20"/>
      <c r="D2" s="20"/>
    </row>
    <row r="4" spans="1:4" ht="15" customHeight="1" x14ac:dyDescent="0.35">
      <c r="A4" s="4" t="s">
        <v>29</v>
      </c>
      <c r="B4" s="4" t="s">
        <v>30</v>
      </c>
      <c r="C4" s="4" t="s">
        <v>31</v>
      </c>
      <c r="D4" s="4" t="s">
        <v>32</v>
      </c>
    </row>
    <row r="5" spans="1:4" ht="15" customHeight="1" x14ac:dyDescent="0.35">
      <c r="A5" s="21" t="s">
        <v>33</v>
      </c>
      <c r="B5" s="21"/>
      <c r="C5" s="21"/>
      <c r="D5" s="21"/>
    </row>
    <row r="6" spans="1:4" ht="15" customHeight="1" x14ac:dyDescent="0.35">
      <c r="A6" s="5" t="s">
        <v>34</v>
      </c>
      <c r="B6" s="6" t="s">
        <v>35</v>
      </c>
      <c r="C6" s="3" t="s">
        <v>36</v>
      </c>
      <c r="D6" s="3"/>
    </row>
    <row r="7" spans="1:4" ht="15" customHeight="1" x14ac:dyDescent="0.35">
      <c r="A7" s="5" t="s">
        <v>37</v>
      </c>
      <c r="B7" s="6" t="s">
        <v>38</v>
      </c>
      <c r="C7" s="3" t="s">
        <v>36</v>
      </c>
      <c r="D7" s="3"/>
    </row>
    <row r="8" spans="1:4" ht="15" customHeight="1" x14ac:dyDescent="0.35">
      <c r="A8" s="5" t="s">
        <v>39</v>
      </c>
      <c r="B8" s="6" t="s">
        <v>40</v>
      </c>
      <c r="C8" s="3" t="s">
        <v>41</v>
      </c>
      <c r="D8" s="3" t="s">
        <v>42</v>
      </c>
    </row>
    <row r="9" spans="1:4" ht="15" customHeight="1" x14ac:dyDescent="0.35">
      <c r="A9" s="5" t="s">
        <v>43</v>
      </c>
      <c r="B9" s="6" t="s">
        <v>44</v>
      </c>
      <c r="C9" s="3" t="s">
        <v>36</v>
      </c>
      <c r="D9" s="3"/>
    </row>
    <row r="10" spans="1:4" ht="15" customHeight="1" x14ac:dyDescent="0.35">
      <c r="A10" s="5" t="s">
        <v>45</v>
      </c>
      <c r="B10" s="6" t="s">
        <v>46</v>
      </c>
      <c r="C10" s="3" t="s">
        <v>36</v>
      </c>
      <c r="D10" s="3"/>
    </row>
    <row r="11" spans="1:4" ht="15" customHeight="1" x14ac:dyDescent="0.35">
      <c r="A11" s="5" t="s">
        <v>47</v>
      </c>
      <c r="B11" s="6" t="s">
        <v>48</v>
      </c>
      <c r="C11" s="3" t="s">
        <v>49</v>
      </c>
      <c r="D11" s="3"/>
    </row>
    <row r="12" spans="1:4" ht="15" customHeight="1" x14ac:dyDescent="0.35">
      <c r="A12" s="5" t="s">
        <v>50</v>
      </c>
      <c r="B12" s="6" t="s">
        <v>51</v>
      </c>
      <c r="C12" s="3" t="s">
        <v>41</v>
      </c>
      <c r="D12" s="3" t="s">
        <v>52</v>
      </c>
    </row>
    <row r="13" spans="1:4" ht="15" customHeight="1" x14ac:dyDescent="0.35">
      <c r="A13" s="5" t="s">
        <v>53</v>
      </c>
      <c r="B13" s="6" t="s">
        <v>54</v>
      </c>
      <c r="C13" s="3" t="s">
        <v>36</v>
      </c>
      <c r="D13" s="3"/>
    </row>
    <row r="14" spans="1:4" ht="15" customHeight="1" x14ac:dyDescent="0.35">
      <c r="A14" s="5" t="s">
        <v>55</v>
      </c>
      <c r="B14" s="6" t="s">
        <v>56</v>
      </c>
      <c r="C14" s="3" t="s">
        <v>36</v>
      </c>
      <c r="D14" s="3"/>
    </row>
    <row r="15" spans="1:4" ht="15" customHeight="1" x14ac:dyDescent="0.35">
      <c r="A15" s="5" t="s">
        <v>57</v>
      </c>
      <c r="B15" s="6" t="s">
        <v>58</v>
      </c>
      <c r="C15" s="3" t="s">
        <v>41</v>
      </c>
      <c r="D15" s="3" t="s">
        <v>59</v>
      </c>
    </row>
    <row r="16" spans="1:4" ht="15" customHeight="1" x14ac:dyDescent="0.35">
      <c r="A16" s="22" t="s">
        <v>60</v>
      </c>
      <c r="B16" s="22"/>
      <c r="C16" s="22"/>
      <c r="D16" s="22"/>
    </row>
    <row r="17" spans="1:4" ht="15" customHeight="1" x14ac:dyDescent="0.35">
      <c r="A17" s="5" t="s">
        <v>61</v>
      </c>
      <c r="B17" s="6" t="s">
        <v>62</v>
      </c>
      <c r="C17" s="3" t="s">
        <v>36</v>
      </c>
      <c r="D17" s="3"/>
    </row>
    <row r="18" spans="1:4" ht="15" customHeight="1" x14ac:dyDescent="0.35">
      <c r="A18" s="5" t="s">
        <v>63</v>
      </c>
      <c r="B18" s="6" t="s">
        <v>64</v>
      </c>
      <c r="C18" s="3" t="s">
        <v>36</v>
      </c>
      <c r="D18" s="3"/>
    </row>
    <row r="19" spans="1:4" ht="15" customHeight="1" x14ac:dyDescent="0.35">
      <c r="A19" s="5" t="s">
        <v>65</v>
      </c>
      <c r="B19" s="6" t="s">
        <v>66</v>
      </c>
      <c r="C19" s="3" t="s">
        <v>36</v>
      </c>
      <c r="D19" s="3"/>
    </row>
    <row r="20" spans="1:4" ht="15" customHeight="1" x14ac:dyDescent="0.35">
      <c r="A20" s="5" t="s">
        <v>67</v>
      </c>
      <c r="B20" s="6" t="s">
        <v>68</v>
      </c>
      <c r="C20" s="3" t="s">
        <v>36</v>
      </c>
      <c r="D20" s="3"/>
    </row>
    <row r="21" spans="1:4" ht="15" customHeight="1" x14ac:dyDescent="0.35">
      <c r="A21" s="5" t="s">
        <v>69</v>
      </c>
      <c r="B21" s="6" t="s">
        <v>70</v>
      </c>
      <c r="C21" s="3" t="s">
        <v>41</v>
      </c>
      <c r="D21" s="3" t="s">
        <v>71</v>
      </c>
    </row>
    <row r="22" spans="1:4" ht="15" customHeight="1" x14ac:dyDescent="0.35">
      <c r="A22" s="5" t="s">
        <v>72</v>
      </c>
      <c r="B22" s="6" t="s">
        <v>73</v>
      </c>
      <c r="C22" s="3" t="s">
        <v>36</v>
      </c>
      <c r="D22" s="3"/>
    </row>
    <row r="23" spans="1:4" ht="15" customHeight="1" x14ac:dyDescent="0.35">
      <c r="A23" s="5" t="s">
        <v>74</v>
      </c>
      <c r="B23" s="6" t="s">
        <v>75</v>
      </c>
      <c r="C23" s="3" t="s">
        <v>36</v>
      </c>
      <c r="D23" s="3"/>
    </row>
    <row r="24" spans="1:4" ht="15" customHeight="1" x14ac:dyDescent="0.35">
      <c r="A24" s="5" t="s">
        <v>76</v>
      </c>
      <c r="B24" s="6"/>
      <c r="C24" s="3"/>
      <c r="D24" s="3"/>
    </row>
    <row r="25" spans="1:4" ht="15" customHeight="1" x14ac:dyDescent="0.35">
      <c r="A25" s="5" t="s">
        <v>77</v>
      </c>
      <c r="B25" s="6"/>
      <c r="C25" s="3"/>
      <c r="D25" s="3"/>
    </row>
    <row r="26" spans="1:4" ht="15" customHeight="1" x14ac:dyDescent="0.35">
      <c r="A26" s="5" t="s">
        <v>78</v>
      </c>
      <c r="B26" s="6"/>
      <c r="C26" s="3"/>
      <c r="D26" s="3"/>
    </row>
    <row r="27" spans="1:4" ht="15" customHeight="1" x14ac:dyDescent="0.35">
      <c r="A27" s="23" t="s">
        <v>79</v>
      </c>
      <c r="B27" s="23"/>
      <c r="C27" s="23"/>
      <c r="D27" s="23"/>
    </row>
    <row r="28" spans="1:4" ht="15" customHeight="1" x14ac:dyDescent="0.35">
      <c r="A28" s="5" t="s">
        <v>80</v>
      </c>
      <c r="B28" s="6" t="s">
        <v>81</v>
      </c>
      <c r="C28" s="3" t="s">
        <v>36</v>
      </c>
      <c r="D28" s="3"/>
    </row>
    <row r="29" spans="1:4" ht="15" customHeight="1" x14ac:dyDescent="0.35">
      <c r="A29" s="5" t="s">
        <v>82</v>
      </c>
      <c r="B29" s="6" t="s">
        <v>83</v>
      </c>
      <c r="C29" s="3" t="s">
        <v>36</v>
      </c>
      <c r="D29" s="3"/>
    </row>
    <row r="30" spans="1:4" ht="15" customHeight="1" x14ac:dyDescent="0.35">
      <c r="A30" s="5" t="s">
        <v>84</v>
      </c>
      <c r="B30" s="6" t="s">
        <v>85</v>
      </c>
      <c r="C30" s="3" t="s">
        <v>36</v>
      </c>
      <c r="D30" s="3"/>
    </row>
    <row r="31" spans="1:4" ht="15" customHeight="1" x14ac:dyDescent="0.35">
      <c r="A31" s="5" t="s">
        <v>86</v>
      </c>
      <c r="B31" s="6" t="s">
        <v>87</v>
      </c>
      <c r="C31" s="3" t="s">
        <v>36</v>
      </c>
      <c r="D31" s="3"/>
    </row>
    <row r="32" spans="1:4" ht="15" customHeight="1" x14ac:dyDescent="0.35">
      <c r="A32" s="5" t="s">
        <v>88</v>
      </c>
      <c r="B32" s="6" t="s">
        <v>89</v>
      </c>
      <c r="C32" s="3" t="s">
        <v>36</v>
      </c>
      <c r="D32" s="3"/>
    </row>
    <row r="33" spans="1:4" ht="15" customHeight="1" x14ac:dyDescent="0.35">
      <c r="A33" s="5" t="s">
        <v>90</v>
      </c>
      <c r="B33" s="6" t="s">
        <v>91</v>
      </c>
      <c r="C33" s="3" t="s">
        <v>36</v>
      </c>
      <c r="D33" s="3"/>
    </row>
    <row r="34" spans="1:4" ht="15" customHeight="1" x14ac:dyDescent="0.35">
      <c r="A34" s="5" t="s">
        <v>92</v>
      </c>
      <c r="B34" s="6" t="s">
        <v>93</v>
      </c>
      <c r="C34" s="3" t="s">
        <v>36</v>
      </c>
      <c r="D34" s="3"/>
    </row>
    <row r="35" spans="1:4" ht="15" customHeight="1" x14ac:dyDescent="0.35">
      <c r="A35" s="5" t="s">
        <v>94</v>
      </c>
      <c r="B35" s="6" t="s">
        <v>95</v>
      </c>
      <c r="C35" s="3" t="s">
        <v>36</v>
      </c>
      <c r="D35" s="3"/>
    </row>
    <row r="36" spans="1:4" ht="15" customHeight="1" x14ac:dyDescent="0.35">
      <c r="A36" s="5" t="s">
        <v>96</v>
      </c>
      <c r="B36" s="6"/>
      <c r="C36" s="3"/>
      <c r="D36" s="3"/>
    </row>
    <row r="37" spans="1:4" ht="15" customHeight="1" x14ac:dyDescent="0.35">
      <c r="A37" s="5" t="s">
        <v>97</v>
      </c>
      <c r="B37" s="6"/>
      <c r="C37" s="3"/>
      <c r="D37" s="3"/>
    </row>
    <row r="38" spans="1:4" ht="15" customHeight="1" x14ac:dyDescent="0.35">
      <c r="A38" s="19" t="s">
        <v>98</v>
      </c>
      <c r="B38" s="19"/>
      <c r="C38" s="19"/>
      <c r="D38" s="19"/>
    </row>
    <row r="39" spans="1:4" ht="15" customHeight="1" x14ac:dyDescent="0.35">
      <c r="A39" s="5" t="s">
        <v>99</v>
      </c>
      <c r="B39" s="6" t="s">
        <v>100</v>
      </c>
      <c r="C39" s="3" t="s">
        <v>36</v>
      </c>
      <c r="D39" s="3"/>
    </row>
    <row r="40" spans="1:4" ht="15" customHeight="1" x14ac:dyDescent="0.35">
      <c r="A40" s="5" t="s">
        <v>101</v>
      </c>
      <c r="B40" s="6" t="s">
        <v>102</v>
      </c>
      <c r="C40" s="3" t="s">
        <v>36</v>
      </c>
      <c r="D40" s="3"/>
    </row>
    <row r="41" spans="1:4" ht="15" customHeight="1" x14ac:dyDescent="0.35">
      <c r="A41" s="5" t="s">
        <v>103</v>
      </c>
      <c r="B41" s="6" t="s">
        <v>104</v>
      </c>
      <c r="C41" s="3" t="s">
        <v>36</v>
      </c>
      <c r="D41" s="3"/>
    </row>
    <row r="42" spans="1:4" ht="15" customHeight="1" x14ac:dyDescent="0.35">
      <c r="A42" s="5" t="s">
        <v>105</v>
      </c>
      <c r="B42" s="6" t="s">
        <v>106</v>
      </c>
      <c r="C42" s="3" t="s">
        <v>41</v>
      </c>
      <c r="D42" s="3" t="s">
        <v>107</v>
      </c>
    </row>
    <row r="43" spans="1:4" ht="15" customHeight="1" x14ac:dyDescent="0.35">
      <c r="A43" s="5" t="s">
        <v>108</v>
      </c>
      <c r="B43" s="6" t="s">
        <v>109</v>
      </c>
      <c r="C43" s="3" t="s">
        <v>36</v>
      </c>
      <c r="D43" s="3"/>
    </row>
    <row r="44" spans="1:4" ht="15" customHeight="1" x14ac:dyDescent="0.35">
      <c r="A44" s="5" t="s">
        <v>110</v>
      </c>
      <c r="B44" s="6" t="s">
        <v>111</v>
      </c>
      <c r="C44" s="3" t="s">
        <v>36</v>
      </c>
      <c r="D44" s="3"/>
    </row>
    <row r="45" spans="1:4" ht="15" customHeight="1" x14ac:dyDescent="0.35">
      <c r="A45" s="5" t="s">
        <v>112</v>
      </c>
      <c r="B45" s="6"/>
      <c r="C45" s="3"/>
      <c r="D45" s="3"/>
    </row>
    <row r="46" spans="1:4" ht="15" customHeight="1" x14ac:dyDescent="0.35">
      <c r="A46" s="5" t="s">
        <v>113</v>
      </c>
      <c r="B46" s="6"/>
      <c r="C46" s="3"/>
      <c r="D46" s="3"/>
    </row>
    <row r="47" spans="1:4" ht="15" customHeight="1" x14ac:dyDescent="0.35">
      <c r="A47" s="5" t="s">
        <v>114</v>
      </c>
      <c r="B47" s="6"/>
      <c r="C47" s="3"/>
      <c r="D47" s="3"/>
    </row>
    <row r="48" spans="1:4" ht="15" customHeight="1" x14ac:dyDescent="0.35">
      <c r="A48" s="5" t="s">
        <v>115</v>
      </c>
      <c r="B48" s="6"/>
      <c r="C48" s="3"/>
      <c r="D48" s="3"/>
    </row>
  </sheetData>
  <sheetProtection password="B08D" sheet="1"/>
  <mergeCells count="6">
    <mergeCell ref="A38:D38"/>
    <mergeCell ref="A1:D1"/>
    <mergeCell ref="A2:D2"/>
    <mergeCell ref="A5:D5"/>
    <mergeCell ref="A16:D16"/>
    <mergeCell ref="A27:D27"/>
  </mergeCells>
  <conditionalFormatting sqref="C6:C48">
    <cfRule type="expression" dxfId="21" priority="45">
      <formula>AND(NOT(ISBLANK(B6)),ISBLANK(C6))</formula>
    </cfRule>
  </conditionalFormatting>
  <conditionalFormatting sqref="D6:D48">
    <cfRule type="expression" dxfId="20" priority="2">
      <formula>AND(C6="Se actualiza",ISBLANK(D6))</formula>
    </cfRule>
  </conditionalFormatting>
  <dataValidations count="2">
    <dataValidation type="list" allowBlank="1" error="Use: Se mantiene / Se elimina / Se actualiza" prompt="Seleccione el estado de este ítem" sqref="C6:C15 C17:C26 C28:C37 C39:C48" xr:uid="{00000000-0002-0000-0200-000000000000}">
      <formula1>"Se mantiene,Se elimina,Se actualiza"</formula1>
      <formula2>0</formula2>
    </dataValidation>
    <dataValidation type="textLength" operator="lessThanOrEqual" allowBlank="1" errorTitle="Texto muy largo" error="Máximo 500 caracteres" sqref="D6:D15 D17:D26 D28:D37 D39:D48" xr:uid="{00000000-0002-0000-0200-000001000000}">
      <formula1>500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zoomScaleNormal="100" workbookViewId="0">
      <selection sqref="A1:D1"/>
    </sheetView>
  </sheetViews>
  <sheetFormatPr baseColWidth="10" defaultColWidth="8.6328125" defaultRowHeight="14.5" x14ac:dyDescent="0.35"/>
  <cols>
    <col min="1" max="1" width="5" customWidth="1"/>
    <col min="2" max="2" width="65" customWidth="1"/>
    <col min="3" max="3" width="20" customWidth="1"/>
    <col min="4" max="4" width="65" customWidth="1"/>
  </cols>
  <sheetData>
    <row r="1" spans="1:4" ht="17.25" customHeight="1" x14ac:dyDescent="0.45">
      <c r="A1" s="18" t="s">
        <v>116</v>
      </c>
      <c r="B1" s="18"/>
      <c r="C1" s="18"/>
      <c r="D1" s="18"/>
    </row>
    <row r="2" spans="1:4" ht="15" customHeight="1" x14ac:dyDescent="0.35">
      <c r="A2" s="24" t="s">
        <v>117</v>
      </c>
      <c r="B2" s="24"/>
      <c r="C2" s="24"/>
      <c r="D2" s="24"/>
    </row>
    <row r="4" spans="1:4" ht="15" customHeight="1" x14ac:dyDescent="0.35">
      <c r="A4" s="4" t="s">
        <v>118</v>
      </c>
      <c r="B4" s="4" t="s">
        <v>119</v>
      </c>
      <c r="C4" s="4" t="s">
        <v>120</v>
      </c>
      <c r="D4" s="4" t="s">
        <v>121</v>
      </c>
    </row>
    <row r="5" spans="1:4" ht="15" customHeight="1" x14ac:dyDescent="0.35">
      <c r="A5" s="2">
        <v>1</v>
      </c>
      <c r="B5" s="6" t="s">
        <v>122</v>
      </c>
      <c r="C5" s="3" t="s">
        <v>36</v>
      </c>
      <c r="D5" s="3"/>
    </row>
    <row r="6" spans="1:4" ht="15" customHeight="1" x14ac:dyDescent="0.35">
      <c r="A6" s="2">
        <v>2</v>
      </c>
      <c r="B6" s="6" t="s">
        <v>123</v>
      </c>
      <c r="C6" s="3" t="s">
        <v>36</v>
      </c>
      <c r="D6" s="3"/>
    </row>
    <row r="7" spans="1:4" ht="15" customHeight="1" x14ac:dyDescent="0.35">
      <c r="A7" s="2">
        <v>3</v>
      </c>
      <c r="B7" s="6" t="s">
        <v>124</v>
      </c>
      <c r="C7" s="3" t="s">
        <v>36</v>
      </c>
      <c r="D7" s="3"/>
    </row>
    <row r="8" spans="1:4" ht="15" customHeight="1" x14ac:dyDescent="0.35">
      <c r="A8" s="2">
        <v>4</v>
      </c>
      <c r="B8" s="6" t="s">
        <v>125</v>
      </c>
      <c r="C8" s="3" t="s">
        <v>41</v>
      </c>
      <c r="D8" s="3" t="s">
        <v>126</v>
      </c>
    </row>
    <row r="9" spans="1:4" ht="15" customHeight="1" x14ac:dyDescent="0.35">
      <c r="A9" s="2">
        <v>5</v>
      </c>
      <c r="B9" s="6" t="s">
        <v>127</v>
      </c>
      <c r="C9" s="3" t="s">
        <v>41</v>
      </c>
      <c r="D9" s="3" t="s">
        <v>128</v>
      </c>
    </row>
    <row r="10" spans="1:4" ht="15" customHeight="1" x14ac:dyDescent="0.35">
      <c r="A10" s="2">
        <v>6</v>
      </c>
      <c r="B10" s="6"/>
      <c r="C10" s="3"/>
      <c r="D10" s="3"/>
    </row>
    <row r="11" spans="1:4" ht="15" customHeight="1" x14ac:dyDescent="0.35">
      <c r="A11" s="2">
        <v>7</v>
      </c>
      <c r="B11" s="6"/>
      <c r="C11" s="3"/>
      <c r="D11" s="3"/>
    </row>
  </sheetData>
  <sheetProtection password="B08D" sheet="1"/>
  <mergeCells count="2">
    <mergeCell ref="A1:D1"/>
    <mergeCell ref="A2:D2"/>
  </mergeCells>
  <conditionalFormatting sqref="C5:C11">
    <cfRule type="expression" dxfId="19" priority="2">
      <formula>AND(NOT(ISBLANK(B5)),ISBLANK(C5))</formula>
    </cfRule>
  </conditionalFormatting>
  <dataValidations count="2">
    <dataValidation type="list" allowBlank="1" prompt="Seleccione estado" sqref="C5:C11" xr:uid="{00000000-0002-0000-0300-000000000000}">
      <formula1>"Se mantiene,Se actualiza"</formula1>
      <formula2>0</formula2>
    </dataValidation>
    <dataValidation type="textLength" operator="lessThanOrEqual" allowBlank="1" error="Máximo 600 caracteres" sqref="D5:D11" xr:uid="{00000000-0002-0000-0300-000001000000}">
      <formula1>600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9"/>
  <sheetViews>
    <sheetView zoomScaleNormal="100" workbookViewId="0">
      <selection activeCell="D15" sqref="D15"/>
    </sheetView>
  </sheetViews>
  <sheetFormatPr baseColWidth="10" defaultColWidth="8.6328125" defaultRowHeight="14.5" x14ac:dyDescent="0.35"/>
  <cols>
    <col min="1" max="1" width="5" customWidth="1"/>
    <col min="2" max="2" width="50" customWidth="1"/>
    <col min="3" max="3" width="45" customWidth="1"/>
    <col min="4" max="4" width="60" customWidth="1"/>
    <col min="5" max="5" width="20" customWidth="1"/>
  </cols>
  <sheetData>
    <row r="1" spans="1:5" ht="17.25" customHeight="1" x14ac:dyDescent="0.45">
      <c r="A1" s="18" t="s">
        <v>129</v>
      </c>
      <c r="B1" s="18"/>
      <c r="C1" s="18"/>
      <c r="D1" s="18"/>
      <c r="E1" s="18"/>
    </row>
    <row r="2" spans="1:5" ht="15" customHeight="1" x14ac:dyDescent="0.35">
      <c r="A2" s="7" t="s">
        <v>130</v>
      </c>
      <c r="B2" s="25" t="s">
        <v>131</v>
      </c>
      <c r="C2" s="25"/>
      <c r="D2" s="25"/>
      <c r="E2" s="25"/>
    </row>
    <row r="4" spans="1:5" ht="15" customHeight="1" x14ac:dyDescent="0.35">
      <c r="A4" s="26" t="s">
        <v>132</v>
      </c>
      <c r="B4" s="26"/>
      <c r="C4" s="26"/>
      <c r="D4" s="26"/>
      <c r="E4" s="26"/>
    </row>
    <row r="5" spans="1:5" ht="15" customHeight="1" x14ac:dyDescent="0.35">
      <c r="A5" s="8" t="s">
        <v>118</v>
      </c>
      <c r="B5" s="8" t="s">
        <v>133</v>
      </c>
      <c r="C5" s="8" t="s">
        <v>134</v>
      </c>
      <c r="D5" s="8" t="s">
        <v>135</v>
      </c>
      <c r="E5" s="8" t="s">
        <v>120</v>
      </c>
    </row>
    <row r="6" spans="1:5" ht="15" customHeight="1" x14ac:dyDescent="0.35">
      <c r="A6" s="5">
        <v>1</v>
      </c>
      <c r="B6" s="6" t="s">
        <v>136</v>
      </c>
      <c r="C6" s="6" t="s">
        <v>137</v>
      </c>
      <c r="D6" s="3" t="s">
        <v>138</v>
      </c>
      <c r="E6" s="9" t="s">
        <v>139</v>
      </c>
    </row>
    <row r="7" spans="1:5" ht="15" customHeight="1" x14ac:dyDescent="0.35">
      <c r="A7" s="5">
        <v>2</v>
      </c>
      <c r="B7" s="6" t="s">
        <v>140</v>
      </c>
      <c r="C7" s="6" t="s">
        <v>141</v>
      </c>
      <c r="D7" s="3" t="s">
        <v>142</v>
      </c>
      <c r="E7" s="9" t="s">
        <v>143</v>
      </c>
    </row>
    <row r="8" spans="1:5" ht="15" customHeight="1" x14ac:dyDescent="0.35">
      <c r="A8" s="5">
        <v>3</v>
      </c>
      <c r="B8" s="6" t="s">
        <v>144</v>
      </c>
      <c r="C8" s="6" t="s">
        <v>145</v>
      </c>
      <c r="D8" s="3" t="s">
        <v>146</v>
      </c>
      <c r="E8" s="9" t="s">
        <v>139</v>
      </c>
    </row>
    <row r="9" spans="1:5" ht="15" customHeight="1" x14ac:dyDescent="0.35">
      <c r="A9" s="5">
        <v>4</v>
      </c>
      <c r="B9" s="6" t="s">
        <v>147</v>
      </c>
      <c r="C9" s="6" t="s">
        <v>148</v>
      </c>
      <c r="D9" s="3" t="s">
        <v>149</v>
      </c>
      <c r="E9" s="9" t="s">
        <v>139</v>
      </c>
    </row>
    <row r="10" spans="1:5" ht="15" customHeight="1" x14ac:dyDescent="0.35">
      <c r="A10" s="5">
        <v>5</v>
      </c>
      <c r="B10" s="6" t="s">
        <v>150</v>
      </c>
      <c r="C10" s="6" t="s">
        <v>151</v>
      </c>
      <c r="D10" s="3" t="s">
        <v>152</v>
      </c>
      <c r="E10" s="9" t="s">
        <v>139</v>
      </c>
    </row>
    <row r="11" spans="1:5" ht="15" customHeight="1" x14ac:dyDescent="0.35">
      <c r="A11" s="5">
        <v>6</v>
      </c>
      <c r="B11" s="6" t="s">
        <v>153</v>
      </c>
      <c r="C11" s="6" t="s">
        <v>154</v>
      </c>
      <c r="D11" s="3" t="s">
        <v>155</v>
      </c>
      <c r="E11" s="9" t="s">
        <v>139</v>
      </c>
    </row>
    <row r="12" spans="1:5" ht="15" customHeight="1" x14ac:dyDescent="0.35">
      <c r="A12" s="5">
        <v>7</v>
      </c>
      <c r="B12" s="6" t="s">
        <v>156</v>
      </c>
      <c r="C12" s="6" t="s">
        <v>157</v>
      </c>
      <c r="D12" s="3" t="s">
        <v>158</v>
      </c>
      <c r="E12" s="9" t="s">
        <v>139</v>
      </c>
    </row>
    <row r="13" spans="1:5" ht="15" customHeight="1" x14ac:dyDescent="0.35">
      <c r="A13" s="5">
        <v>8</v>
      </c>
      <c r="B13" s="6" t="s">
        <v>159</v>
      </c>
      <c r="C13" s="6" t="s">
        <v>160</v>
      </c>
      <c r="D13" s="3" t="s">
        <v>161</v>
      </c>
      <c r="E13" s="9" t="s">
        <v>139</v>
      </c>
    </row>
    <row r="14" spans="1:5" ht="15" customHeight="1" x14ac:dyDescent="0.35">
      <c r="A14" s="5">
        <v>9</v>
      </c>
      <c r="B14" s="6"/>
      <c r="C14" s="6"/>
      <c r="D14" s="3"/>
      <c r="E14" s="9"/>
    </row>
    <row r="15" spans="1:5" ht="15" customHeight="1" x14ac:dyDescent="0.35">
      <c r="A15" s="5">
        <v>10</v>
      </c>
      <c r="B15" s="6"/>
      <c r="C15" s="6"/>
      <c r="D15" s="3"/>
      <c r="E15" s="9"/>
    </row>
    <row r="16" spans="1:5" ht="15" customHeight="1" x14ac:dyDescent="0.35">
      <c r="A16" s="5">
        <v>11</v>
      </c>
      <c r="B16" s="6"/>
      <c r="C16" s="6"/>
      <c r="D16" s="3"/>
      <c r="E16" s="9"/>
    </row>
    <row r="17" spans="1:5" ht="15" customHeight="1" x14ac:dyDescent="0.35">
      <c r="A17" s="5">
        <v>12</v>
      </c>
      <c r="B17" s="6"/>
      <c r="C17" s="6"/>
      <c r="D17" s="3"/>
      <c r="E17" s="9"/>
    </row>
    <row r="18" spans="1:5" ht="15" customHeight="1" x14ac:dyDescent="0.35">
      <c r="A18" s="5">
        <v>13</v>
      </c>
      <c r="B18" s="6"/>
      <c r="C18" s="6"/>
      <c r="D18" s="3"/>
      <c r="E18" s="9"/>
    </row>
    <row r="19" spans="1:5" ht="15" customHeight="1" x14ac:dyDescent="0.35">
      <c r="A19" s="5">
        <v>14</v>
      </c>
      <c r="B19" s="6"/>
      <c r="C19" s="6"/>
      <c r="D19" s="3"/>
      <c r="E19" s="9"/>
    </row>
    <row r="20" spans="1:5" ht="15" customHeight="1" x14ac:dyDescent="0.35">
      <c r="A20" s="5">
        <v>15</v>
      </c>
      <c r="B20" s="6"/>
      <c r="C20" s="6"/>
      <c r="D20" s="3"/>
      <c r="E20" s="9"/>
    </row>
    <row r="21" spans="1:5" ht="15" customHeight="1" x14ac:dyDescent="0.35">
      <c r="A21" s="5">
        <v>16</v>
      </c>
      <c r="B21" s="6"/>
      <c r="C21" s="6"/>
      <c r="D21" s="3"/>
      <c r="E21" s="9"/>
    </row>
    <row r="22" spans="1:5" ht="15" customHeight="1" x14ac:dyDescent="0.35">
      <c r="A22" s="5">
        <v>17</v>
      </c>
      <c r="B22" s="6"/>
      <c r="C22" s="6"/>
      <c r="D22" s="3"/>
      <c r="E22" s="9"/>
    </row>
    <row r="23" spans="1:5" ht="15" customHeight="1" x14ac:dyDescent="0.35">
      <c r="A23" s="5">
        <v>18</v>
      </c>
      <c r="B23" s="6"/>
      <c r="C23" s="6"/>
      <c r="D23" s="3"/>
      <c r="E23" s="9"/>
    </row>
    <row r="24" spans="1:5" ht="15" customHeight="1" x14ac:dyDescent="0.35">
      <c r="A24" s="5">
        <v>19</v>
      </c>
      <c r="B24" s="6"/>
      <c r="C24" s="6"/>
      <c r="D24" s="3"/>
      <c r="E24" s="9"/>
    </row>
    <row r="25" spans="1:5" ht="15" customHeight="1" x14ac:dyDescent="0.35">
      <c r="A25" s="5">
        <v>20</v>
      </c>
      <c r="B25" s="6"/>
      <c r="C25" s="6"/>
      <c r="D25" s="3"/>
      <c r="E25" s="9"/>
    </row>
    <row r="26" spans="1:5" ht="15" customHeight="1" x14ac:dyDescent="0.35">
      <c r="A26" s="5">
        <v>21</v>
      </c>
      <c r="B26" s="6"/>
      <c r="C26" s="6"/>
      <c r="D26" s="3"/>
      <c r="E26" s="9"/>
    </row>
    <row r="28" spans="1:5" ht="15" customHeight="1" x14ac:dyDescent="0.35">
      <c r="A28" s="26" t="s">
        <v>162</v>
      </c>
      <c r="B28" s="26"/>
      <c r="C28" s="26"/>
      <c r="D28" s="26"/>
      <c r="E28" s="26"/>
    </row>
    <row r="29" spans="1:5" ht="15" customHeight="1" x14ac:dyDescent="0.35">
      <c r="A29" s="8" t="s">
        <v>118</v>
      </c>
      <c r="B29" s="8" t="s">
        <v>163</v>
      </c>
      <c r="C29" s="8" t="s">
        <v>164</v>
      </c>
      <c r="D29" s="8" t="s">
        <v>165</v>
      </c>
      <c r="E29" s="8" t="s">
        <v>166</v>
      </c>
    </row>
    <row r="30" spans="1:5" ht="15" customHeight="1" x14ac:dyDescent="0.35">
      <c r="A30" s="5">
        <v>1</v>
      </c>
      <c r="B30" s="6" t="s">
        <v>167</v>
      </c>
      <c r="C30" s="6" t="s">
        <v>168</v>
      </c>
      <c r="D30" s="3" t="s">
        <v>169</v>
      </c>
      <c r="E30" s="3" t="s">
        <v>170</v>
      </c>
    </row>
    <row r="31" spans="1:5" ht="15" customHeight="1" x14ac:dyDescent="0.35">
      <c r="A31" s="5">
        <v>2</v>
      </c>
      <c r="B31" s="6" t="s">
        <v>171</v>
      </c>
      <c r="C31" s="6" t="s">
        <v>172</v>
      </c>
      <c r="D31" s="3" t="s">
        <v>173</v>
      </c>
      <c r="E31" s="3" t="s">
        <v>170</v>
      </c>
    </row>
    <row r="32" spans="1:5" ht="15" customHeight="1" x14ac:dyDescent="0.35">
      <c r="A32" s="5">
        <v>3</v>
      </c>
      <c r="B32" s="6" t="s">
        <v>174</v>
      </c>
      <c r="C32" s="6" t="s">
        <v>175</v>
      </c>
      <c r="D32" s="3" t="s">
        <v>176</v>
      </c>
      <c r="E32" s="3" t="s">
        <v>170</v>
      </c>
    </row>
    <row r="33" spans="1:5" ht="15" customHeight="1" x14ac:dyDescent="0.35">
      <c r="A33" s="5">
        <v>4</v>
      </c>
      <c r="B33" s="6" t="s">
        <v>177</v>
      </c>
      <c r="C33" s="6" t="s">
        <v>178</v>
      </c>
      <c r="D33" s="3" t="s">
        <v>179</v>
      </c>
      <c r="E33" s="3" t="s">
        <v>170</v>
      </c>
    </row>
    <row r="34" spans="1:5" ht="15" customHeight="1" x14ac:dyDescent="0.35">
      <c r="A34" s="5">
        <v>5</v>
      </c>
      <c r="B34" s="6" t="s">
        <v>180</v>
      </c>
      <c r="C34" s="6" t="s">
        <v>181</v>
      </c>
      <c r="D34" s="3" t="s">
        <v>182</v>
      </c>
      <c r="E34" s="3" t="s">
        <v>170</v>
      </c>
    </row>
    <row r="35" spans="1:5" ht="15" customHeight="1" x14ac:dyDescent="0.35">
      <c r="A35" s="5">
        <v>6</v>
      </c>
      <c r="B35" s="6" t="s">
        <v>183</v>
      </c>
      <c r="C35" s="6" t="s">
        <v>184</v>
      </c>
      <c r="D35" s="3" t="s">
        <v>185</v>
      </c>
      <c r="E35" s="3" t="s">
        <v>139</v>
      </c>
    </row>
    <row r="36" spans="1:5" ht="15" customHeight="1" x14ac:dyDescent="0.35">
      <c r="A36" s="5">
        <v>7</v>
      </c>
      <c r="B36" s="6" t="s">
        <v>186</v>
      </c>
      <c r="C36" s="6" t="s">
        <v>187</v>
      </c>
      <c r="D36" s="3" t="s">
        <v>188</v>
      </c>
      <c r="E36" s="3" t="s">
        <v>170</v>
      </c>
    </row>
    <row r="37" spans="1:5" ht="15" customHeight="1" x14ac:dyDescent="0.35">
      <c r="A37" s="5">
        <v>8</v>
      </c>
      <c r="B37" s="6" t="s">
        <v>189</v>
      </c>
      <c r="C37" s="6" t="s">
        <v>190</v>
      </c>
      <c r="D37" s="3" t="s">
        <v>191</v>
      </c>
      <c r="E37" s="3" t="s">
        <v>170</v>
      </c>
    </row>
    <row r="38" spans="1:5" ht="15" customHeight="1" x14ac:dyDescent="0.35">
      <c r="A38" s="5">
        <v>9</v>
      </c>
      <c r="B38" s="6"/>
      <c r="C38" s="6"/>
      <c r="D38" s="3"/>
      <c r="E38" s="3"/>
    </row>
    <row r="39" spans="1:5" ht="15" customHeight="1" x14ac:dyDescent="0.35">
      <c r="A39" s="5">
        <v>10</v>
      </c>
      <c r="B39" s="6"/>
      <c r="C39" s="6"/>
      <c r="D39" s="3"/>
      <c r="E39" s="3"/>
    </row>
  </sheetData>
  <sheetProtection password="B08D" sheet="1"/>
  <mergeCells count="4">
    <mergeCell ref="A1:E1"/>
    <mergeCell ref="B2:E2"/>
    <mergeCell ref="A4:E4"/>
    <mergeCell ref="A28:E28"/>
  </mergeCells>
  <conditionalFormatting sqref="D6:D26">
    <cfRule type="expression" dxfId="18" priority="2">
      <formula>AND(NOT(ISBLANK(B6)),ISBLANK(D6))</formula>
    </cfRule>
    <cfRule type="expression" dxfId="17" priority="3">
      <formula>AND(NOT(ISBLANK(B6)),NOT(ISBLANK(D6)))</formula>
    </cfRule>
  </conditionalFormatting>
  <conditionalFormatting sqref="D30:D39">
    <cfRule type="expression" dxfId="16" priority="65">
      <formula>AND(NOT(ISBLANK(B30)),ISBLANK(D30))</formula>
    </cfRule>
  </conditionalFormatting>
  <conditionalFormatting sqref="E6:E26">
    <cfRule type="expression" dxfId="15" priority="4">
      <formula>AND(NOT(ISBLANK(B6)),ISBLANK(E6))</formula>
    </cfRule>
  </conditionalFormatting>
  <dataValidations count="2">
    <dataValidation type="list" allowBlank="1" sqref="E6:E26" xr:uid="{00000000-0002-0000-0400-000000000000}">
      <formula1>"Completada,En progreso,Sin avance,No aplica"</formula1>
      <formula2>0</formula2>
    </dataValidation>
    <dataValidation type="textLength" operator="lessThanOrEqual" allowBlank="1" error="Máximo 500 caracteres." sqref="D6:D26" xr:uid="{00000000-0002-0000-0400-000001000000}">
      <formula1>500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9"/>
  <sheetViews>
    <sheetView zoomScaleNormal="100" workbookViewId="0">
      <selection sqref="A1:E1"/>
    </sheetView>
  </sheetViews>
  <sheetFormatPr baseColWidth="10" defaultColWidth="8.6328125" defaultRowHeight="14.5" x14ac:dyDescent="0.35"/>
  <cols>
    <col min="1" max="1" width="5" customWidth="1"/>
    <col min="2" max="2" width="50" customWidth="1"/>
    <col min="3" max="3" width="45" customWidth="1"/>
    <col min="4" max="4" width="60" customWidth="1"/>
    <col min="5" max="5" width="20" customWidth="1"/>
  </cols>
  <sheetData>
    <row r="1" spans="1:5" ht="17.25" customHeight="1" x14ac:dyDescent="0.45">
      <c r="A1" s="18" t="s">
        <v>192</v>
      </c>
      <c r="B1" s="18"/>
      <c r="C1" s="18"/>
      <c r="D1" s="18"/>
      <c r="E1" s="18"/>
    </row>
    <row r="2" spans="1:5" ht="15" customHeight="1" x14ac:dyDescent="0.35">
      <c r="A2" s="7" t="s">
        <v>130</v>
      </c>
      <c r="B2" s="25" t="s">
        <v>193</v>
      </c>
      <c r="C2" s="25"/>
      <c r="D2" s="25"/>
      <c r="E2" s="25"/>
    </row>
    <row r="4" spans="1:5" ht="15" customHeight="1" x14ac:dyDescent="0.35">
      <c r="A4" s="26" t="s">
        <v>132</v>
      </c>
      <c r="B4" s="26"/>
      <c r="C4" s="26"/>
      <c r="D4" s="26"/>
      <c r="E4" s="26"/>
    </row>
    <row r="5" spans="1:5" ht="15" customHeight="1" x14ac:dyDescent="0.35">
      <c r="A5" s="8" t="s">
        <v>118</v>
      </c>
      <c r="B5" s="8" t="s">
        <v>133</v>
      </c>
      <c r="C5" s="8" t="s">
        <v>134</v>
      </c>
      <c r="D5" s="8" t="s">
        <v>135</v>
      </c>
      <c r="E5" s="8" t="s">
        <v>120</v>
      </c>
    </row>
    <row r="6" spans="1:5" ht="15" customHeight="1" x14ac:dyDescent="0.35">
      <c r="A6" s="5">
        <v>1</v>
      </c>
      <c r="B6" s="6" t="s">
        <v>194</v>
      </c>
      <c r="C6" s="6" t="s">
        <v>195</v>
      </c>
      <c r="D6" s="3" t="s">
        <v>196</v>
      </c>
      <c r="E6" s="9" t="s">
        <v>197</v>
      </c>
    </row>
    <row r="7" spans="1:5" ht="15" customHeight="1" x14ac:dyDescent="0.35">
      <c r="A7" s="5">
        <v>2</v>
      </c>
      <c r="B7" s="6" t="s">
        <v>198</v>
      </c>
      <c r="C7" s="6" t="s">
        <v>199</v>
      </c>
      <c r="D7" s="3" t="s">
        <v>200</v>
      </c>
      <c r="E7" s="9" t="s">
        <v>139</v>
      </c>
    </row>
    <row r="8" spans="1:5" ht="15" customHeight="1" x14ac:dyDescent="0.35">
      <c r="A8" s="5">
        <v>3</v>
      </c>
      <c r="B8" s="6" t="s">
        <v>201</v>
      </c>
      <c r="C8" s="6" t="s">
        <v>202</v>
      </c>
      <c r="D8" s="3" t="s">
        <v>203</v>
      </c>
      <c r="E8" s="9" t="s">
        <v>139</v>
      </c>
    </row>
    <row r="9" spans="1:5" ht="15" customHeight="1" x14ac:dyDescent="0.35">
      <c r="A9" s="5">
        <v>4</v>
      </c>
      <c r="B9" s="6" t="s">
        <v>204</v>
      </c>
      <c r="C9" s="6" t="s">
        <v>205</v>
      </c>
      <c r="D9" s="3" t="s">
        <v>206</v>
      </c>
      <c r="E9" s="9" t="s">
        <v>139</v>
      </c>
    </row>
    <row r="10" spans="1:5" ht="15" customHeight="1" x14ac:dyDescent="0.35">
      <c r="A10" s="5">
        <v>5</v>
      </c>
      <c r="B10" s="6" t="s">
        <v>207</v>
      </c>
      <c r="C10" s="6" t="s">
        <v>208</v>
      </c>
      <c r="D10" s="3" t="s">
        <v>209</v>
      </c>
      <c r="E10" s="9" t="s">
        <v>139</v>
      </c>
    </row>
    <row r="11" spans="1:5" ht="15" customHeight="1" x14ac:dyDescent="0.35">
      <c r="A11" s="5">
        <v>6</v>
      </c>
      <c r="B11" s="6"/>
      <c r="C11" s="6"/>
      <c r="D11" s="3"/>
      <c r="E11" s="9"/>
    </row>
    <row r="12" spans="1:5" ht="15" customHeight="1" x14ac:dyDescent="0.35">
      <c r="A12" s="5">
        <v>7</v>
      </c>
      <c r="B12" s="6"/>
      <c r="C12" s="6"/>
      <c r="D12" s="3"/>
      <c r="E12" s="9"/>
    </row>
    <row r="13" spans="1:5" ht="15" customHeight="1" x14ac:dyDescent="0.35">
      <c r="A13" s="5">
        <v>8</v>
      </c>
      <c r="B13" s="6"/>
      <c r="C13" s="6"/>
      <c r="D13" s="3"/>
      <c r="E13" s="9"/>
    </row>
    <row r="14" spans="1:5" ht="15" customHeight="1" x14ac:dyDescent="0.35">
      <c r="A14" s="5">
        <v>9</v>
      </c>
      <c r="B14" s="6"/>
      <c r="C14" s="6"/>
      <c r="D14" s="3"/>
      <c r="E14" s="9"/>
    </row>
    <row r="15" spans="1:5" ht="15" customHeight="1" x14ac:dyDescent="0.35">
      <c r="A15" s="5">
        <v>10</v>
      </c>
      <c r="B15" s="6"/>
      <c r="C15" s="6"/>
      <c r="D15" s="3"/>
      <c r="E15" s="9"/>
    </row>
    <row r="16" spans="1:5" ht="15" customHeight="1" x14ac:dyDescent="0.35">
      <c r="A16" s="5">
        <v>11</v>
      </c>
      <c r="B16" s="6"/>
      <c r="C16" s="6"/>
      <c r="D16" s="3"/>
      <c r="E16" s="9"/>
    </row>
    <row r="17" spans="1:5" ht="15" customHeight="1" x14ac:dyDescent="0.35">
      <c r="A17" s="5">
        <v>12</v>
      </c>
      <c r="B17" s="6"/>
      <c r="C17" s="6"/>
      <c r="D17" s="3"/>
      <c r="E17" s="9"/>
    </row>
    <row r="18" spans="1:5" ht="15" customHeight="1" x14ac:dyDescent="0.35">
      <c r="A18" s="5">
        <v>13</v>
      </c>
      <c r="B18" s="6"/>
      <c r="C18" s="6"/>
      <c r="D18" s="3"/>
      <c r="E18" s="9"/>
    </row>
    <row r="19" spans="1:5" ht="15" customHeight="1" x14ac:dyDescent="0.35">
      <c r="A19" s="5">
        <v>14</v>
      </c>
      <c r="B19" s="6"/>
      <c r="C19" s="6"/>
      <c r="D19" s="3"/>
      <c r="E19" s="9"/>
    </row>
    <row r="20" spans="1:5" ht="15" customHeight="1" x14ac:dyDescent="0.35">
      <c r="A20" s="5">
        <v>15</v>
      </c>
      <c r="B20" s="6"/>
      <c r="C20" s="6"/>
      <c r="D20" s="3"/>
      <c r="E20" s="9"/>
    </row>
    <row r="21" spans="1:5" ht="15" customHeight="1" x14ac:dyDescent="0.35">
      <c r="A21" s="5">
        <v>16</v>
      </c>
      <c r="B21" s="6"/>
      <c r="C21" s="6"/>
      <c r="D21" s="3"/>
      <c r="E21" s="9"/>
    </row>
    <row r="22" spans="1:5" ht="15" customHeight="1" x14ac:dyDescent="0.35">
      <c r="A22" s="5">
        <v>17</v>
      </c>
      <c r="B22" s="6"/>
      <c r="C22" s="6"/>
      <c r="D22" s="3"/>
      <c r="E22" s="9"/>
    </row>
    <row r="23" spans="1:5" ht="15" customHeight="1" x14ac:dyDescent="0.35">
      <c r="A23" s="5">
        <v>18</v>
      </c>
      <c r="B23" s="6"/>
      <c r="C23" s="6"/>
      <c r="D23" s="3"/>
      <c r="E23" s="9"/>
    </row>
    <row r="24" spans="1:5" ht="15" customHeight="1" x14ac:dyDescent="0.35">
      <c r="A24" s="5">
        <v>19</v>
      </c>
      <c r="B24" s="6"/>
      <c r="C24" s="6"/>
      <c r="D24" s="3"/>
      <c r="E24" s="9"/>
    </row>
    <row r="25" spans="1:5" ht="15" customHeight="1" x14ac:dyDescent="0.35">
      <c r="A25" s="5">
        <v>20</v>
      </c>
      <c r="B25" s="6"/>
      <c r="C25" s="6"/>
      <c r="D25" s="3"/>
      <c r="E25" s="9"/>
    </row>
    <row r="26" spans="1:5" ht="15" customHeight="1" x14ac:dyDescent="0.35">
      <c r="A26" s="5">
        <v>21</v>
      </c>
      <c r="B26" s="6"/>
      <c r="C26" s="6"/>
      <c r="D26" s="3"/>
      <c r="E26" s="9"/>
    </row>
    <row r="28" spans="1:5" ht="15" customHeight="1" x14ac:dyDescent="0.35">
      <c r="A28" s="26" t="s">
        <v>162</v>
      </c>
      <c r="B28" s="26"/>
      <c r="C28" s="26"/>
      <c r="D28" s="26"/>
      <c r="E28" s="26"/>
    </row>
    <row r="29" spans="1:5" ht="15" customHeight="1" x14ac:dyDescent="0.35">
      <c r="A29" s="8" t="s">
        <v>118</v>
      </c>
      <c r="B29" s="8" t="s">
        <v>163</v>
      </c>
      <c r="C29" s="8" t="s">
        <v>164</v>
      </c>
      <c r="D29" s="8" t="s">
        <v>165</v>
      </c>
      <c r="E29" s="8" t="s">
        <v>166</v>
      </c>
    </row>
    <row r="30" spans="1:5" ht="15" customHeight="1" x14ac:dyDescent="0.35">
      <c r="A30" s="5">
        <v>1</v>
      </c>
      <c r="B30" s="6"/>
      <c r="C30" s="6"/>
      <c r="D30" s="3"/>
      <c r="E30" s="3"/>
    </row>
    <row r="31" spans="1:5" ht="15" customHeight="1" x14ac:dyDescent="0.35">
      <c r="A31" s="5">
        <v>2</v>
      </c>
      <c r="B31" s="6"/>
      <c r="C31" s="6"/>
      <c r="D31" s="3"/>
      <c r="E31" s="3"/>
    </row>
    <row r="32" spans="1:5" ht="15" customHeight="1" x14ac:dyDescent="0.35">
      <c r="A32" s="5">
        <v>3</v>
      </c>
      <c r="B32" s="6"/>
      <c r="C32" s="6"/>
      <c r="D32" s="3"/>
      <c r="E32" s="3"/>
    </row>
    <row r="33" spans="1:5" ht="15" customHeight="1" x14ac:dyDescent="0.35">
      <c r="A33" s="5">
        <v>4</v>
      </c>
      <c r="B33" s="6"/>
      <c r="C33" s="6"/>
      <c r="D33" s="3"/>
      <c r="E33" s="3"/>
    </row>
    <row r="34" spans="1:5" ht="15" customHeight="1" x14ac:dyDescent="0.35">
      <c r="A34" s="5">
        <v>5</v>
      </c>
      <c r="B34" s="6"/>
      <c r="C34" s="6"/>
      <c r="D34" s="3"/>
      <c r="E34" s="3"/>
    </row>
    <row r="35" spans="1:5" ht="15" customHeight="1" x14ac:dyDescent="0.35">
      <c r="A35" s="5">
        <v>6</v>
      </c>
      <c r="B35" s="6"/>
      <c r="C35" s="6"/>
      <c r="D35" s="3"/>
      <c r="E35" s="3"/>
    </row>
    <row r="36" spans="1:5" ht="15" customHeight="1" x14ac:dyDescent="0.35">
      <c r="A36" s="5">
        <v>7</v>
      </c>
      <c r="B36" s="6"/>
      <c r="C36" s="6"/>
      <c r="D36" s="3"/>
      <c r="E36" s="3"/>
    </row>
    <row r="37" spans="1:5" ht="15" customHeight="1" x14ac:dyDescent="0.35">
      <c r="A37" s="5">
        <v>8</v>
      </c>
      <c r="B37" s="6"/>
      <c r="C37" s="6"/>
      <c r="D37" s="3"/>
      <c r="E37" s="3"/>
    </row>
    <row r="38" spans="1:5" ht="15" customHeight="1" x14ac:dyDescent="0.35">
      <c r="A38" s="5">
        <v>9</v>
      </c>
      <c r="B38" s="6"/>
      <c r="C38" s="6"/>
      <c r="D38" s="3"/>
      <c r="E38" s="3"/>
    </row>
    <row r="39" spans="1:5" ht="15" customHeight="1" x14ac:dyDescent="0.35">
      <c r="A39" s="5">
        <v>10</v>
      </c>
      <c r="B39" s="6"/>
      <c r="C39" s="6"/>
      <c r="D39" s="3"/>
      <c r="E39" s="3"/>
    </row>
  </sheetData>
  <sheetProtection password="B08D" sheet="1"/>
  <mergeCells count="4">
    <mergeCell ref="A1:E1"/>
    <mergeCell ref="B2:E2"/>
    <mergeCell ref="A4:E4"/>
    <mergeCell ref="A28:E28"/>
  </mergeCells>
  <conditionalFormatting sqref="D6:D26">
    <cfRule type="expression" dxfId="14" priority="2">
      <formula>AND(NOT(ISBLANK(B6)),ISBLANK(D6))</formula>
    </cfRule>
    <cfRule type="expression" dxfId="13" priority="3">
      <formula>AND(NOT(ISBLANK(B6)),NOT(ISBLANK(D6)))</formula>
    </cfRule>
  </conditionalFormatting>
  <conditionalFormatting sqref="D30:D39">
    <cfRule type="expression" dxfId="12" priority="65">
      <formula>AND(NOT(ISBLANK(B30)),ISBLANK(D30))</formula>
    </cfRule>
  </conditionalFormatting>
  <conditionalFormatting sqref="E6:E26">
    <cfRule type="expression" dxfId="11" priority="4">
      <formula>AND(NOT(ISBLANK(B6)),ISBLANK(E6))</formula>
    </cfRule>
  </conditionalFormatting>
  <dataValidations count="2">
    <dataValidation type="textLength" operator="lessThanOrEqual" allowBlank="1" error="Máximo 500 caracteres." sqref="D6:D26" xr:uid="{00000000-0002-0000-0500-000000000000}">
      <formula1>500</formula1>
      <formula2>0</formula2>
    </dataValidation>
    <dataValidation type="list" allowBlank="1" sqref="E6:E26" xr:uid="{00000000-0002-0000-0500-000001000000}">
      <formula1>"Completada,En progreso,Sin avance,No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9"/>
  <sheetViews>
    <sheetView zoomScaleNormal="100" workbookViewId="0">
      <selection sqref="A1:E1"/>
    </sheetView>
  </sheetViews>
  <sheetFormatPr baseColWidth="10" defaultColWidth="8.6328125" defaultRowHeight="14.5" x14ac:dyDescent="0.35"/>
  <cols>
    <col min="1" max="1" width="5" customWidth="1"/>
    <col min="2" max="2" width="50" customWidth="1"/>
    <col min="3" max="3" width="45" customWidth="1"/>
    <col min="4" max="4" width="60" customWidth="1"/>
    <col min="5" max="5" width="20" customWidth="1"/>
  </cols>
  <sheetData>
    <row r="1" spans="1:5" ht="17.25" customHeight="1" x14ac:dyDescent="0.45">
      <c r="A1" s="18" t="s">
        <v>210</v>
      </c>
      <c r="B1" s="18"/>
      <c r="C1" s="18"/>
      <c r="D1" s="18"/>
      <c r="E1" s="18"/>
    </row>
    <row r="2" spans="1:5" ht="15" customHeight="1" x14ac:dyDescent="0.35">
      <c r="A2" s="7" t="s">
        <v>130</v>
      </c>
      <c r="B2" s="25" t="s">
        <v>211</v>
      </c>
      <c r="C2" s="25"/>
      <c r="D2" s="25"/>
      <c r="E2" s="25"/>
    </row>
    <row r="4" spans="1:5" ht="15" customHeight="1" x14ac:dyDescent="0.35">
      <c r="A4" s="26" t="s">
        <v>132</v>
      </c>
      <c r="B4" s="26"/>
      <c r="C4" s="26"/>
      <c r="D4" s="26"/>
      <c r="E4" s="26"/>
    </row>
    <row r="5" spans="1:5" ht="15" customHeight="1" x14ac:dyDescent="0.35">
      <c r="A5" s="8" t="s">
        <v>118</v>
      </c>
      <c r="B5" s="8" t="s">
        <v>133</v>
      </c>
      <c r="C5" s="8" t="s">
        <v>134</v>
      </c>
      <c r="D5" s="8" t="s">
        <v>135</v>
      </c>
      <c r="E5" s="8" t="s">
        <v>120</v>
      </c>
    </row>
    <row r="6" spans="1:5" ht="15" customHeight="1" x14ac:dyDescent="0.35">
      <c r="A6" s="5">
        <v>1</v>
      </c>
      <c r="B6" s="6" t="s">
        <v>212</v>
      </c>
      <c r="C6" s="6" t="s">
        <v>213</v>
      </c>
      <c r="D6" s="3" t="s">
        <v>214</v>
      </c>
      <c r="E6" s="9" t="s">
        <v>139</v>
      </c>
    </row>
    <row r="7" spans="1:5" ht="15" customHeight="1" x14ac:dyDescent="0.35">
      <c r="A7" s="5">
        <v>2</v>
      </c>
      <c r="B7" s="6" t="s">
        <v>215</v>
      </c>
      <c r="C7" s="6" t="s">
        <v>216</v>
      </c>
      <c r="D7" s="3" t="s">
        <v>217</v>
      </c>
      <c r="E7" s="9" t="s">
        <v>139</v>
      </c>
    </row>
    <row r="8" spans="1:5" ht="15" customHeight="1" x14ac:dyDescent="0.35">
      <c r="A8" s="5">
        <v>3</v>
      </c>
      <c r="B8" s="6"/>
      <c r="C8" s="6"/>
      <c r="D8" s="3"/>
      <c r="E8" s="9"/>
    </row>
    <row r="9" spans="1:5" ht="15" customHeight="1" x14ac:dyDescent="0.35">
      <c r="A9" s="5">
        <v>4</v>
      </c>
      <c r="B9" s="6"/>
      <c r="C9" s="6"/>
      <c r="D9" s="3"/>
      <c r="E9" s="9"/>
    </row>
    <row r="10" spans="1:5" ht="15" customHeight="1" x14ac:dyDescent="0.35">
      <c r="A10" s="5">
        <v>5</v>
      </c>
      <c r="B10" s="6"/>
      <c r="C10" s="6"/>
      <c r="D10" s="3"/>
      <c r="E10" s="9"/>
    </row>
    <row r="11" spans="1:5" ht="15" customHeight="1" x14ac:dyDescent="0.35">
      <c r="A11" s="5">
        <v>6</v>
      </c>
      <c r="B11" s="6"/>
      <c r="C11" s="6"/>
      <c r="D11" s="3"/>
      <c r="E11" s="9"/>
    </row>
    <row r="12" spans="1:5" ht="15" customHeight="1" x14ac:dyDescent="0.35">
      <c r="A12" s="5">
        <v>7</v>
      </c>
      <c r="B12" s="6"/>
      <c r="C12" s="6"/>
      <c r="D12" s="3"/>
      <c r="E12" s="9"/>
    </row>
    <row r="13" spans="1:5" ht="15" customHeight="1" x14ac:dyDescent="0.35">
      <c r="A13" s="5">
        <v>8</v>
      </c>
      <c r="B13" s="6"/>
      <c r="C13" s="6"/>
      <c r="D13" s="3"/>
      <c r="E13" s="9"/>
    </row>
    <row r="14" spans="1:5" ht="15" customHeight="1" x14ac:dyDescent="0.35">
      <c r="A14" s="5">
        <v>9</v>
      </c>
      <c r="B14" s="6"/>
      <c r="C14" s="6"/>
      <c r="D14" s="3"/>
      <c r="E14" s="9"/>
    </row>
    <row r="15" spans="1:5" ht="15" customHeight="1" x14ac:dyDescent="0.35">
      <c r="A15" s="5">
        <v>10</v>
      </c>
      <c r="B15" s="6"/>
      <c r="C15" s="6"/>
      <c r="D15" s="3"/>
      <c r="E15" s="9"/>
    </row>
    <row r="16" spans="1:5" ht="15" customHeight="1" x14ac:dyDescent="0.35">
      <c r="A16" s="5">
        <v>11</v>
      </c>
      <c r="B16" s="6"/>
      <c r="C16" s="6"/>
      <c r="D16" s="3"/>
      <c r="E16" s="9"/>
    </row>
    <row r="17" spans="1:5" ht="15" customHeight="1" x14ac:dyDescent="0.35">
      <c r="A17" s="5">
        <v>12</v>
      </c>
      <c r="B17" s="6"/>
      <c r="C17" s="6"/>
      <c r="D17" s="3"/>
      <c r="E17" s="9"/>
    </row>
    <row r="18" spans="1:5" ht="15" customHeight="1" x14ac:dyDescent="0.35">
      <c r="A18" s="5">
        <v>13</v>
      </c>
      <c r="B18" s="6"/>
      <c r="C18" s="6"/>
      <c r="D18" s="3"/>
      <c r="E18" s="9"/>
    </row>
    <row r="19" spans="1:5" ht="15" customHeight="1" x14ac:dyDescent="0.35">
      <c r="A19" s="5">
        <v>14</v>
      </c>
      <c r="B19" s="6"/>
      <c r="C19" s="6"/>
      <c r="D19" s="3"/>
      <c r="E19" s="9"/>
    </row>
    <row r="20" spans="1:5" ht="15" customHeight="1" x14ac:dyDescent="0.35">
      <c r="A20" s="5">
        <v>15</v>
      </c>
      <c r="B20" s="6"/>
      <c r="C20" s="6"/>
      <c r="D20" s="3"/>
      <c r="E20" s="9"/>
    </row>
    <row r="21" spans="1:5" ht="15" customHeight="1" x14ac:dyDescent="0.35">
      <c r="A21" s="5">
        <v>16</v>
      </c>
      <c r="B21" s="6"/>
      <c r="C21" s="6"/>
      <c r="D21" s="3"/>
      <c r="E21" s="9"/>
    </row>
    <row r="22" spans="1:5" ht="15" customHeight="1" x14ac:dyDescent="0.35">
      <c r="A22" s="5">
        <v>17</v>
      </c>
      <c r="B22" s="6"/>
      <c r="C22" s="6"/>
      <c r="D22" s="3"/>
      <c r="E22" s="9"/>
    </row>
    <row r="23" spans="1:5" ht="15" customHeight="1" x14ac:dyDescent="0.35">
      <c r="A23" s="5">
        <v>18</v>
      </c>
      <c r="B23" s="6"/>
      <c r="C23" s="6"/>
      <c r="D23" s="3"/>
      <c r="E23" s="9"/>
    </row>
    <row r="24" spans="1:5" ht="15" customHeight="1" x14ac:dyDescent="0.35">
      <c r="A24" s="5">
        <v>19</v>
      </c>
      <c r="B24" s="6"/>
      <c r="C24" s="6"/>
      <c r="D24" s="3"/>
      <c r="E24" s="9"/>
    </row>
    <row r="25" spans="1:5" ht="15" customHeight="1" x14ac:dyDescent="0.35">
      <c r="A25" s="5">
        <v>20</v>
      </c>
      <c r="B25" s="6"/>
      <c r="C25" s="6"/>
      <c r="D25" s="3"/>
      <c r="E25" s="9"/>
    </row>
    <row r="26" spans="1:5" ht="15" customHeight="1" x14ac:dyDescent="0.35">
      <c r="A26" s="5">
        <v>21</v>
      </c>
      <c r="B26" s="6"/>
      <c r="C26" s="6"/>
      <c r="D26" s="3"/>
      <c r="E26" s="9"/>
    </row>
    <row r="28" spans="1:5" ht="15" customHeight="1" x14ac:dyDescent="0.35">
      <c r="A28" s="26" t="s">
        <v>162</v>
      </c>
      <c r="B28" s="26"/>
      <c r="C28" s="26"/>
      <c r="D28" s="26"/>
      <c r="E28" s="26"/>
    </row>
    <row r="29" spans="1:5" ht="15" customHeight="1" x14ac:dyDescent="0.35">
      <c r="A29" s="8" t="s">
        <v>118</v>
      </c>
      <c r="B29" s="8" t="s">
        <v>163</v>
      </c>
      <c r="C29" s="8" t="s">
        <v>164</v>
      </c>
      <c r="D29" s="8" t="s">
        <v>165</v>
      </c>
      <c r="E29" s="8" t="s">
        <v>166</v>
      </c>
    </row>
    <row r="30" spans="1:5" ht="15" customHeight="1" x14ac:dyDescent="0.35">
      <c r="A30" s="5">
        <v>1</v>
      </c>
      <c r="B30" s="6"/>
      <c r="C30" s="6"/>
      <c r="D30" s="3"/>
      <c r="E30" s="3"/>
    </row>
    <row r="31" spans="1:5" ht="15" customHeight="1" x14ac:dyDescent="0.35">
      <c r="A31" s="5">
        <v>2</v>
      </c>
      <c r="B31" s="6"/>
      <c r="C31" s="6"/>
      <c r="D31" s="3"/>
      <c r="E31" s="3"/>
    </row>
    <row r="32" spans="1:5" ht="15" customHeight="1" x14ac:dyDescent="0.35">
      <c r="A32" s="5">
        <v>3</v>
      </c>
      <c r="B32" s="6"/>
      <c r="C32" s="6"/>
      <c r="D32" s="3"/>
      <c r="E32" s="3"/>
    </row>
    <row r="33" spans="1:5" ht="15" customHeight="1" x14ac:dyDescent="0.35">
      <c r="A33" s="5">
        <v>4</v>
      </c>
      <c r="B33" s="6"/>
      <c r="C33" s="6"/>
      <c r="D33" s="3"/>
      <c r="E33" s="3"/>
    </row>
    <row r="34" spans="1:5" ht="15" customHeight="1" x14ac:dyDescent="0.35">
      <c r="A34" s="5">
        <v>5</v>
      </c>
      <c r="B34" s="6"/>
      <c r="C34" s="6"/>
      <c r="D34" s="3"/>
      <c r="E34" s="3"/>
    </row>
    <row r="35" spans="1:5" ht="15" customHeight="1" x14ac:dyDescent="0.35">
      <c r="A35" s="5">
        <v>6</v>
      </c>
      <c r="B35" s="6"/>
      <c r="C35" s="6"/>
      <c r="D35" s="3"/>
      <c r="E35" s="3"/>
    </row>
    <row r="36" spans="1:5" ht="15" customHeight="1" x14ac:dyDescent="0.35">
      <c r="A36" s="5">
        <v>7</v>
      </c>
      <c r="B36" s="6"/>
      <c r="C36" s="6"/>
      <c r="D36" s="3"/>
      <c r="E36" s="3"/>
    </row>
    <row r="37" spans="1:5" ht="15" customHeight="1" x14ac:dyDescent="0.35">
      <c r="A37" s="5">
        <v>8</v>
      </c>
      <c r="B37" s="6"/>
      <c r="C37" s="6"/>
      <c r="D37" s="3"/>
      <c r="E37" s="3"/>
    </row>
    <row r="38" spans="1:5" ht="15" customHeight="1" x14ac:dyDescent="0.35">
      <c r="A38" s="5">
        <v>9</v>
      </c>
      <c r="B38" s="6"/>
      <c r="C38" s="6"/>
      <c r="D38" s="3"/>
      <c r="E38" s="3"/>
    </row>
    <row r="39" spans="1:5" ht="15" customHeight="1" x14ac:dyDescent="0.35">
      <c r="A39" s="5">
        <v>10</v>
      </c>
      <c r="B39" s="6"/>
      <c r="C39" s="6"/>
      <c r="D39" s="3"/>
      <c r="E39" s="3"/>
    </row>
  </sheetData>
  <sheetProtection password="B08D" sheet="1"/>
  <mergeCells count="4">
    <mergeCell ref="A1:E1"/>
    <mergeCell ref="B2:E2"/>
    <mergeCell ref="A4:E4"/>
    <mergeCell ref="A28:E28"/>
  </mergeCells>
  <conditionalFormatting sqref="D6:D26">
    <cfRule type="expression" dxfId="10" priority="2">
      <formula>AND(NOT(ISBLANK(B6)),ISBLANK(D6))</formula>
    </cfRule>
    <cfRule type="expression" dxfId="9" priority="3">
      <formula>AND(NOT(ISBLANK(B6)),NOT(ISBLANK(D6)))</formula>
    </cfRule>
  </conditionalFormatting>
  <conditionalFormatting sqref="D30:D39">
    <cfRule type="expression" dxfId="8" priority="65">
      <formula>AND(NOT(ISBLANK(B30)),ISBLANK(D30))</formula>
    </cfRule>
  </conditionalFormatting>
  <conditionalFormatting sqref="E6:E26">
    <cfRule type="expression" dxfId="7" priority="4">
      <formula>AND(NOT(ISBLANK(B6)),ISBLANK(E6))</formula>
    </cfRule>
  </conditionalFormatting>
  <dataValidations count="2">
    <dataValidation type="textLength" operator="lessThanOrEqual" allowBlank="1" error="Máximo 500 caracteres." sqref="D6:D26" xr:uid="{00000000-0002-0000-0600-000000000000}">
      <formula1>500</formula1>
      <formula2>0</formula2>
    </dataValidation>
    <dataValidation type="list" allowBlank="1" sqref="E6:E26" xr:uid="{00000000-0002-0000-0600-000001000000}">
      <formula1>"Completada,En progreso,Sin avance,No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zoomScaleNormal="100" workbookViewId="0">
      <selection sqref="A1:D1"/>
    </sheetView>
  </sheetViews>
  <sheetFormatPr baseColWidth="10" defaultColWidth="8.6328125" defaultRowHeight="14.5" x14ac:dyDescent="0.35"/>
  <cols>
    <col min="1" max="1" width="5" customWidth="1"/>
    <col min="2" max="2" width="40" customWidth="1"/>
    <col min="3" max="3" width="75" customWidth="1"/>
    <col min="4" max="4" width="22" customWidth="1"/>
  </cols>
  <sheetData>
    <row r="1" spans="1:4" ht="17.25" customHeight="1" x14ac:dyDescent="0.45">
      <c r="A1" s="18" t="s">
        <v>218</v>
      </c>
      <c r="B1" s="18"/>
      <c r="C1" s="18"/>
      <c r="D1" s="18"/>
    </row>
    <row r="2" spans="1:4" ht="15" customHeight="1" x14ac:dyDescent="0.35">
      <c r="A2" s="24" t="s">
        <v>219</v>
      </c>
      <c r="B2" s="24"/>
      <c r="C2" s="24"/>
      <c r="D2" s="24"/>
    </row>
    <row r="3" spans="1:4" ht="15" customHeight="1" x14ac:dyDescent="0.35">
      <c r="A3" s="4" t="s">
        <v>118</v>
      </c>
      <c r="B3" s="4" t="s">
        <v>220</v>
      </c>
      <c r="C3" s="4" t="s">
        <v>221</v>
      </c>
      <c r="D3" s="4" t="s">
        <v>222</v>
      </c>
    </row>
    <row r="4" spans="1:4" ht="15" customHeight="1" x14ac:dyDescent="0.35">
      <c r="A4" s="5">
        <v>1</v>
      </c>
      <c r="B4" s="3" t="s">
        <v>223</v>
      </c>
      <c r="C4" s="3" t="s">
        <v>224</v>
      </c>
      <c r="D4" s="9" t="s">
        <v>225</v>
      </c>
    </row>
    <row r="5" spans="1:4" ht="15" customHeight="1" x14ac:dyDescent="0.35">
      <c r="A5" s="5">
        <v>2</v>
      </c>
      <c r="B5" s="3" t="s">
        <v>226</v>
      </c>
      <c r="C5" s="3" t="s">
        <v>227</v>
      </c>
      <c r="D5" s="9" t="s">
        <v>225</v>
      </c>
    </row>
    <row r="6" spans="1:4" ht="15" customHeight="1" x14ac:dyDescent="0.35">
      <c r="A6" s="5">
        <v>3</v>
      </c>
      <c r="B6" s="3" t="s">
        <v>228</v>
      </c>
      <c r="C6" s="3" t="s">
        <v>229</v>
      </c>
      <c r="D6" s="9" t="s">
        <v>230</v>
      </c>
    </row>
    <row r="7" spans="1:4" ht="15" customHeight="1" x14ac:dyDescent="0.35">
      <c r="A7" s="5">
        <v>4</v>
      </c>
      <c r="B7" s="3" t="s">
        <v>231</v>
      </c>
      <c r="C7" s="3" t="s">
        <v>232</v>
      </c>
      <c r="D7" s="9" t="s">
        <v>230</v>
      </c>
    </row>
    <row r="8" spans="1:4" ht="15" customHeight="1" x14ac:dyDescent="0.35">
      <c r="A8" s="5">
        <v>5</v>
      </c>
      <c r="B8" s="3" t="s">
        <v>157</v>
      </c>
      <c r="C8" s="3" t="s">
        <v>233</v>
      </c>
      <c r="D8" s="9" t="s">
        <v>225</v>
      </c>
    </row>
    <row r="9" spans="1:4" ht="15" customHeight="1" x14ac:dyDescent="0.35">
      <c r="A9" s="5">
        <v>6</v>
      </c>
      <c r="B9" s="3"/>
      <c r="C9" s="3"/>
      <c r="D9" s="9"/>
    </row>
    <row r="10" spans="1:4" ht="15" customHeight="1" x14ac:dyDescent="0.35">
      <c r="A10" s="5">
        <v>7</v>
      </c>
      <c r="B10" s="3"/>
      <c r="C10" s="3"/>
      <c r="D10" s="9"/>
    </row>
    <row r="11" spans="1:4" ht="15" customHeight="1" x14ac:dyDescent="0.35">
      <c r="A11" s="5">
        <v>8</v>
      </c>
      <c r="B11" s="3"/>
      <c r="C11" s="3"/>
      <c r="D11" s="9"/>
    </row>
    <row r="12" spans="1:4" ht="15" customHeight="1" x14ac:dyDescent="0.35">
      <c r="A12" s="5">
        <v>9</v>
      </c>
      <c r="B12" s="3"/>
      <c r="C12" s="3"/>
      <c r="D12" s="9"/>
    </row>
    <row r="13" spans="1:4" ht="15" customHeight="1" x14ac:dyDescent="0.35">
      <c r="A13" s="5">
        <v>10</v>
      </c>
      <c r="B13" s="3"/>
      <c r="C13" s="3"/>
      <c r="D13" s="9"/>
    </row>
  </sheetData>
  <sheetProtection password="B08D" sheet="1"/>
  <mergeCells count="2">
    <mergeCell ref="A1:D1"/>
    <mergeCell ref="A2:D2"/>
  </mergeCells>
  <dataValidations count="2">
    <dataValidation type="list" allowBlank="1" sqref="D4:D13" xr:uid="{00000000-0002-0000-0700-000000000000}">
      <formula1>"Exportaciones,Inversión,Turismo,Marca País,Transversal,Línea 1,Línea 2,Línea 3"</formula1>
      <formula2>0</formula2>
    </dataValidation>
    <dataValidation type="textLength" operator="lessThanOrEqual" allowBlank="1" error="Máximo 400 caracteres" sqref="C4:C13" xr:uid="{00000000-0002-0000-0700-000001000000}">
      <formula1>400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8"/>
  <sheetViews>
    <sheetView zoomScaleNormal="100" workbookViewId="0">
      <selection sqref="A1:E1"/>
    </sheetView>
  </sheetViews>
  <sheetFormatPr baseColWidth="10" defaultColWidth="8.6328125" defaultRowHeight="14.5" x14ac:dyDescent="0.35"/>
  <cols>
    <col min="1" max="1" width="5" customWidth="1"/>
    <col min="2" max="2" width="55" customWidth="1"/>
    <col min="3" max="3" width="18" customWidth="1"/>
    <col min="4" max="4" width="22" customWidth="1"/>
    <col min="5" max="5" width="15" customWidth="1"/>
  </cols>
  <sheetData>
    <row r="1" spans="1:5" ht="17.25" customHeight="1" x14ac:dyDescent="0.45">
      <c r="A1" s="18" t="s">
        <v>234</v>
      </c>
      <c r="B1" s="18"/>
      <c r="C1" s="18"/>
      <c r="D1" s="18"/>
      <c r="E1" s="18"/>
    </row>
    <row r="3" spans="1:5" ht="15" customHeight="1" x14ac:dyDescent="0.35">
      <c r="A3" s="4" t="s">
        <v>118</v>
      </c>
      <c r="B3" s="4" t="s">
        <v>163</v>
      </c>
      <c r="C3" s="4" t="s">
        <v>235</v>
      </c>
      <c r="D3" s="4" t="s">
        <v>236</v>
      </c>
      <c r="E3" s="4" t="s">
        <v>237</v>
      </c>
    </row>
    <row r="4" spans="1:5" ht="15" customHeight="1" x14ac:dyDescent="0.35">
      <c r="A4" s="5">
        <v>1</v>
      </c>
      <c r="B4" s="6" t="s">
        <v>238</v>
      </c>
      <c r="C4" s="6">
        <v>16435</v>
      </c>
      <c r="D4" s="3">
        <v>20361</v>
      </c>
      <c r="E4" s="10">
        <f t="shared" ref="E4:E18" si="0">IF(AND(C4&lt;&gt;"",C4&lt;&gt;0,D4&lt;&gt;""),D4/C4,"")</f>
        <v>1.2388804380894434</v>
      </c>
    </row>
    <row r="5" spans="1:5" ht="15" customHeight="1" x14ac:dyDescent="0.35">
      <c r="A5" s="5">
        <v>2</v>
      </c>
      <c r="B5" s="6" t="s">
        <v>171</v>
      </c>
      <c r="C5" s="6">
        <v>530</v>
      </c>
      <c r="D5" s="3">
        <v>1043</v>
      </c>
      <c r="E5" s="10">
        <f t="shared" si="0"/>
        <v>1.9679245283018867</v>
      </c>
    </row>
    <row r="6" spans="1:5" ht="15" customHeight="1" x14ac:dyDescent="0.35">
      <c r="A6" s="5">
        <v>3</v>
      </c>
      <c r="B6" s="6" t="s">
        <v>239</v>
      </c>
      <c r="C6" s="6">
        <v>4286</v>
      </c>
      <c r="D6" s="3">
        <v>3195959</v>
      </c>
      <c r="E6" s="10">
        <f t="shared" si="0"/>
        <v>745.67405506299576</v>
      </c>
    </row>
    <row r="7" spans="1:5" ht="15" customHeight="1" x14ac:dyDescent="0.35">
      <c r="A7" s="5">
        <v>4</v>
      </c>
      <c r="B7" s="6" t="s">
        <v>177</v>
      </c>
      <c r="C7" s="6">
        <v>5550</v>
      </c>
      <c r="D7" s="3">
        <v>6346</v>
      </c>
      <c r="E7" s="10">
        <f t="shared" si="0"/>
        <v>1.1434234234234235</v>
      </c>
    </row>
    <row r="8" spans="1:5" ht="15" customHeight="1" x14ac:dyDescent="0.35">
      <c r="A8" s="5">
        <v>5</v>
      </c>
      <c r="B8" s="6" t="s">
        <v>180</v>
      </c>
      <c r="C8" s="6">
        <v>2293</v>
      </c>
      <c r="D8" s="3">
        <v>3156</v>
      </c>
      <c r="E8" s="10">
        <f t="shared" si="0"/>
        <v>1.376362843436546</v>
      </c>
    </row>
    <row r="9" spans="1:5" ht="15" customHeight="1" x14ac:dyDescent="0.35">
      <c r="A9" s="5">
        <v>6</v>
      </c>
      <c r="B9" s="6" t="s">
        <v>240</v>
      </c>
      <c r="C9" s="6">
        <v>6318</v>
      </c>
      <c r="D9" s="3">
        <v>5961</v>
      </c>
      <c r="E9" s="10">
        <f t="shared" si="0"/>
        <v>0.94349477682811012</v>
      </c>
    </row>
    <row r="10" spans="1:5" ht="15" customHeight="1" x14ac:dyDescent="0.35">
      <c r="A10" s="5">
        <v>7</v>
      </c>
      <c r="B10" s="6" t="s">
        <v>186</v>
      </c>
      <c r="C10" s="6">
        <v>3330</v>
      </c>
      <c r="D10" s="3">
        <v>3392</v>
      </c>
      <c r="E10" s="10">
        <f t="shared" si="0"/>
        <v>1.0186186186186186</v>
      </c>
    </row>
    <row r="11" spans="1:5" ht="15" customHeight="1" x14ac:dyDescent="0.35">
      <c r="A11" s="5">
        <v>8</v>
      </c>
      <c r="B11" s="6" t="s">
        <v>189</v>
      </c>
      <c r="C11" s="6">
        <v>2000</v>
      </c>
      <c r="D11" s="3">
        <v>2753</v>
      </c>
      <c r="E11" s="10">
        <f t="shared" si="0"/>
        <v>1.3765000000000001</v>
      </c>
    </row>
    <row r="12" spans="1:5" ht="15" customHeight="1" x14ac:dyDescent="0.35">
      <c r="A12" s="5">
        <v>9</v>
      </c>
      <c r="B12" s="6" t="s">
        <v>241</v>
      </c>
      <c r="C12" s="6">
        <v>5760</v>
      </c>
      <c r="D12" s="3">
        <v>791</v>
      </c>
      <c r="E12" s="10">
        <f t="shared" si="0"/>
        <v>0.1373263888888889</v>
      </c>
    </row>
    <row r="13" spans="1:5" ht="15" customHeight="1" x14ac:dyDescent="0.35">
      <c r="A13" s="5">
        <v>10</v>
      </c>
      <c r="B13" s="6" t="s">
        <v>242</v>
      </c>
      <c r="C13" s="6">
        <v>40</v>
      </c>
      <c r="D13" s="3">
        <v>50</v>
      </c>
      <c r="E13" s="10">
        <f t="shared" si="0"/>
        <v>1.25</v>
      </c>
    </row>
    <row r="14" spans="1:5" ht="15" customHeight="1" x14ac:dyDescent="0.35">
      <c r="A14" s="5">
        <v>11</v>
      </c>
      <c r="B14" s="6"/>
      <c r="C14" s="6"/>
      <c r="D14" s="3"/>
      <c r="E14" s="10" t="str">
        <f t="shared" si="0"/>
        <v/>
      </c>
    </row>
    <row r="15" spans="1:5" ht="15" customHeight="1" x14ac:dyDescent="0.35">
      <c r="A15" s="5">
        <v>12</v>
      </c>
      <c r="B15" s="6"/>
      <c r="C15" s="6"/>
      <c r="D15" s="3"/>
      <c r="E15" s="10" t="str">
        <f t="shared" si="0"/>
        <v/>
      </c>
    </row>
    <row r="16" spans="1:5" ht="15" customHeight="1" x14ac:dyDescent="0.35">
      <c r="A16" s="5">
        <v>13</v>
      </c>
      <c r="B16" s="6"/>
      <c r="C16" s="6"/>
      <c r="D16" s="3"/>
      <c r="E16" s="10" t="str">
        <f t="shared" si="0"/>
        <v/>
      </c>
    </row>
    <row r="17" spans="1:5" ht="15" customHeight="1" x14ac:dyDescent="0.35">
      <c r="A17" s="5">
        <v>14</v>
      </c>
      <c r="B17" s="6"/>
      <c r="C17" s="6"/>
      <c r="D17" s="3"/>
      <c r="E17" s="10" t="str">
        <f t="shared" si="0"/>
        <v/>
      </c>
    </row>
    <row r="18" spans="1:5" ht="15" customHeight="1" x14ac:dyDescent="0.35">
      <c r="A18" s="5">
        <v>15</v>
      </c>
      <c r="B18" s="6"/>
      <c r="C18" s="6"/>
      <c r="D18" s="3"/>
      <c r="E18" s="10" t="str">
        <f t="shared" si="0"/>
        <v/>
      </c>
    </row>
  </sheetData>
  <sheetProtection password="B08D" sheet="1"/>
  <mergeCells count="1">
    <mergeCell ref="A1:E1"/>
  </mergeCells>
  <conditionalFormatting sqref="D4:D18">
    <cfRule type="expression" dxfId="6" priority="2">
      <formula>AND(NOT(ISBLANK(C4)),ISBLANK(D4))</formula>
    </cfRule>
  </conditionalFormatting>
  <conditionalFormatting sqref="E4:E18">
    <cfRule type="cellIs" dxfId="5" priority="3" operator="greaterThan">
      <formula>0.8</formula>
    </cfRule>
    <cfRule type="cellIs" dxfId="4" priority="4" operator="between">
      <formula>0.5</formula>
      <formula>0.8</formula>
    </cfRule>
    <cfRule type="cellIs" dxfId="3" priority="5" operator="lessThan">
      <formula>0.5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9"/>
  <sheetViews>
    <sheetView zoomScaleNormal="100" workbookViewId="0">
      <selection activeCell="D5" sqref="D5"/>
    </sheetView>
  </sheetViews>
  <sheetFormatPr baseColWidth="10" defaultColWidth="8.6328125" defaultRowHeight="14.5" x14ac:dyDescent="0.35"/>
  <cols>
    <col min="1" max="1" width="45" customWidth="1"/>
    <col min="2" max="2" width="20" customWidth="1"/>
    <col min="3" max="3" width="18" customWidth="1"/>
    <col min="4" max="4" width="15" customWidth="1"/>
  </cols>
  <sheetData>
    <row r="1" spans="1:4" ht="17.25" customHeight="1" x14ac:dyDescent="0.45">
      <c r="A1" s="18" t="s">
        <v>243</v>
      </c>
      <c r="B1" s="18"/>
      <c r="C1" s="18"/>
      <c r="D1" s="18"/>
    </row>
    <row r="2" spans="1:4" ht="15" customHeight="1" x14ac:dyDescent="0.35">
      <c r="A2" s="24" t="s">
        <v>244</v>
      </c>
      <c r="B2" s="24"/>
      <c r="C2" s="24"/>
      <c r="D2" s="24"/>
    </row>
    <row r="4" spans="1:4" ht="15" customHeight="1" x14ac:dyDescent="0.35">
      <c r="A4" s="4" t="s">
        <v>245</v>
      </c>
      <c r="B4" s="4" t="s">
        <v>246</v>
      </c>
      <c r="C4" s="4" t="s">
        <v>247</v>
      </c>
      <c r="D4" s="4" t="s">
        <v>248</v>
      </c>
    </row>
    <row r="5" spans="1:4" ht="15" customHeight="1" x14ac:dyDescent="0.35">
      <c r="A5" s="11" t="s">
        <v>249</v>
      </c>
      <c r="B5" s="12">
        <f>COUNTA(DOFA!C6:C45)-COUNTBLANK(DOFA!C6:C45)</f>
        <v>22</v>
      </c>
      <c r="C5" s="12">
        <f>COUNTA(DOFA!B6:B45)-COUNTBLANK(DOFA!B6:B45)</f>
        <v>22</v>
      </c>
      <c r="D5" s="13">
        <f t="shared" ref="D5:D17" si="0">IF(C5&gt;0,B5/C5,0)</f>
        <v>1</v>
      </c>
    </row>
    <row r="6" spans="1:4" ht="15" customHeight="1" x14ac:dyDescent="0.35">
      <c r="A6" s="11" t="s">
        <v>250</v>
      </c>
      <c r="B6" s="12">
        <f>COUNTA(TENDENCIAS!C5:C11)-COUNTBLANK(TENDENCIAS!C5:C11)</f>
        <v>3</v>
      </c>
      <c r="C6" s="12">
        <f>COUNTA(TENDENCIAS!B5:B11)-COUNTBLANK(TENDENCIAS!B5:B11)</f>
        <v>3</v>
      </c>
      <c r="D6" s="13">
        <f t="shared" si="0"/>
        <v>1</v>
      </c>
    </row>
    <row r="7" spans="1:4" ht="15" customHeight="1" x14ac:dyDescent="0.35">
      <c r="A7" s="11" t="s">
        <v>251</v>
      </c>
      <c r="B7" s="12">
        <f>COUNTA('LÍNEA ESTRATÉGICA 1'!D6:D26)-COUNTBLANK('LÍNEA ESTRATÉGICA 1'!D6:D26)</f>
        <v>-5</v>
      </c>
      <c r="C7" s="12">
        <f>COUNTA('LÍNEA ESTRATÉGICA 1'!B6:B26)-COUNTBLANK('LÍNEA ESTRATÉGICA 1'!B6:B26)</f>
        <v>-5</v>
      </c>
      <c r="D7" s="13">
        <f t="shared" si="0"/>
        <v>0</v>
      </c>
    </row>
    <row r="8" spans="1:4" ht="15" customHeight="1" x14ac:dyDescent="0.35">
      <c r="A8" s="11" t="s">
        <v>252</v>
      </c>
      <c r="B8" s="12">
        <f>COUNTA('LÍNEA ESTRATÉGICA 1'!E6:E26)-COUNTBLANK('LÍNEA ESTRATÉGICA 1'!E6:E26)</f>
        <v>-5</v>
      </c>
      <c r="C8" s="12">
        <f>COUNTA('LÍNEA ESTRATÉGICA 1'!B6:B26)-COUNTBLANK('LÍNEA ESTRATÉGICA 1'!B6:B26)</f>
        <v>-5</v>
      </c>
      <c r="D8" s="13">
        <f t="shared" si="0"/>
        <v>0</v>
      </c>
    </row>
    <row r="9" spans="1:4" ht="15" customHeight="1" x14ac:dyDescent="0.35">
      <c r="A9" s="11" t="s">
        <v>253</v>
      </c>
      <c r="B9" s="12">
        <f>COUNTA('LÍNEA ESTRATÉGICA 1'!D30:D39)-COUNTBLANK('LÍNEA ESTRATÉGICA 1'!D30:D39)</f>
        <v>6</v>
      </c>
      <c r="C9" s="12">
        <f>COUNTA('LÍNEA ESTRATÉGICA 1'!B30:B39)-COUNTBLANK('LÍNEA ESTRATÉGICA 1'!B30:B39)</f>
        <v>6</v>
      </c>
      <c r="D9" s="13">
        <f t="shared" si="0"/>
        <v>1</v>
      </c>
    </row>
    <row r="10" spans="1:4" ht="15" customHeight="1" x14ac:dyDescent="0.35">
      <c r="A10" s="11" t="s">
        <v>254</v>
      </c>
      <c r="B10" s="12">
        <f>COUNTA('LÍNEA ESTRATÉGICA 2'!D6:D26)-COUNTBLANK('LÍNEA ESTRATÉGICA 2'!D6:D26)</f>
        <v>-11</v>
      </c>
      <c r="C10" s="12">
        <f>COUNTA('LÍNEA ESTRATÉGICA 2'!B6:B26)-COUNTBLANK('LÍNEA ESTRATÉGICA 2'!B6:B26)</f>
        <v>-11</v>
      </c>
      <c r="D10" s="13">
        <f t="shared" si="0"/>
        <v>0</v>
      </c>
    </row>
    <row r="11" spans="1:4" ht="15" customHeight="1" x14ac:dyDescent="0.35">
      <c r="A11" s="11" t="s">
        <v>255</v>
      </c>
      <c r="B11" s="12">
        <f>COUNTA('LÍNEA ESTRATÉGICA 2'!E6:E26)-COUNTBLANK('LÍNEA ESTRATÉGICA 2'!E6:E26)</f>
        <v>-11</v>
      </c>
      <c r="C11" s="12">
        <f>COUNTA('LÍNEA ESTRATÉGICA 2'!B6:B26)-COUNTBLANK('LÍNEA ESTRATÉGICA 2'!B6:B26)</f>
        <v>-11</v>
      </c>
      <c r="D11" s="13">
        <f t="shared" si="0"/>
        <v>0</v>
      </c>
    </row>
    <row r="12" spans="1:4" ht="15" customHeight="1" x14ac:dyDescent="0.35">
      <c r="A12" s="11" t="s">
        <v>256</v>
      </c>
      <c r="B12" s="12">
        <f>COUNTA('LÍNEA ESTRATÉGICA 2'!D30:D39)-COUNTBLANK('LÍNEA ESTRATÉGICA 2'!D30:D39)</f>
        <v>-10</v>
      </c>
      <c r="C12" s="12">
        <f>COUNTA('LÍNEA ESTRATÉGICA 2'!B30:B39)-COUNTBLANK('LÍNEA ESTRATÉGICA 2'!B30:B39)</f>
        <v>-10</v>
      </c>
      <c r="D12" s="13">
        <f t="shared" si="0"/>
        <v>0</v>
      </c>
    </row>
    <row r="13" spans="1:4" ht="15" customHeight="1" x14ac:dyDescent="0.35">
      <c r="A13" s="11" t="s">
        <v>257</v>
      </c>
      <c r="B13" s="12">
        <f>COUNTA('LÍNEA ESTRATÉGICA 3'!D6:D26)-COUNTBLANK('LÍNEA ESTRATÉGICA 3'!D6:D26)</f>
        <v>-17</v>
      </c>
      <c r="C13" s="12">
        <f>COUNTA('LÍNEA ESTRATÉGICA 3'!B6:B26)-COUNTBLANK('LÍNEA ESTRATÉGICA 3'!B6:B26)</f>
        <v>-17</v>
      </c>
      <c r="D13" s="13">
        <f t="shared" si="0"/>
        <v>0</v>
      </c>
    </row>
    <row r="14" spans="1:4" ht="15" customHeight="1" x14ac:dyDescent="0.35">
      <c r="A14" s="11" t="s">
        <v>258</v>
      </c>
      <c r="B14" s="12">
        <f>COUNTA('LÍNEA ESTRATÉGICA 3'!E6:E26)-COUNTBLANK('LÍNEA ESTRATÉGICA 3'!E6:E26)</f>
        <v>-17</v>
      </c>
      <c r="C14" s="12">
        <f>COUNTA('LÍNEA ESTRATÉGICA 3'!B6:B26)-COUNTBLANK('LÍNEA ESTRATÉGICA 3'!B6:B26)</f>
        <v>-17</v>
      </c>
      <c r="D14" s="13">
        <f t="shared" si="0"/>
        <v>0</v>
      </c>
    </row>
    <row r="15" spans="1:4" ht="15" customHeight="1" x14ac:dyDescent="0.35">
      <c r="A15" s="11" t="s">
        <v>259</v>
      </c>
      <c r="B15" s="12">
        <f>COUNTA('LÍNEA ESTRATÉGICA 3'!D30:D39)-COUNTBLANK('LÍNEA ESTRATÉGICA 3'!D30:D39)</f>
        <v>-10</v>
      </c>
      <c r="C15" s="12">
        <f>COUNTA('LÍNEA ESTRATÉGICA 3'!B30:B39)-COUNTBLANK('LÍNEA ESTRATÉGICA 3'!B30:B39)</f>
        <v>-10</v>
      </c>
      <c r="D15" s="13">
        <f t="shared" si="0"/>
        <v>0</v>
      </c>
    </row>
    <row r="16" spans="1:4" ht="15" customHeight="1" x14ac:dyDescent="0.35">
      <c r="A16" s="11" t="s">
        <v>260</v>
      </c>
      <c r="B16" s="12">
        <f>COUNTA('CASOS DE ÉXITO'!B4:B13)-COUNTBLANK('CASOS DE ÉXITO'!B4:B13)</f>
        <v>0</v>
      </c>
      <c r="C16" s="12">
        <f>MAX(1,COUNTA('CASOS DE ÉXITO'!B4:B13)-COUNTBLANK('CASOS DE ÉXITO'!B4:B13))</f>
        <v>1</v>
      </c>
      <c r="D16" s="13">
        <f t="shared" si="0"/>
        <v>0</v>
      </c>
    </row>
    <row r="17" spans="1:4" ht="15" customHeight="1" x14ac:dyDescent="0.35">
      <c r="A17" s="11" t="s">
        <v>261</v>
      </c>
      <c r="B17" s="12">
        <f>COUNTA('METAS GENERALES'!D4:D18)-COUNTBLANK('METAS GENERALES'!D4:D18)</f>
        <v>5</v>
      </c>
      <c r="C17" s="12">
        <f>COUNTA('METAS GENERALES'!C4:C18)-COUNTBLANK('METAS GENERALES'!C4:C18)</f>
        <v>5</v>
      </c>
      <c r="D17" s="13">
        <f t="shared" si="0"/>
        <v>1</v>
      </c>
    </row>
    <row r="19" spans="1:4" ht="18" customHeight="1" x14ac:dyDescent="0.35">
      <c r="A19" s="27" t="s">
        <v>262</v>
      </c>
      <c r="B19" s="27"/>
      <c r="C19" s="27"/>
      <c r="D19" s="14">
        <f>AVERAGE(D5:D17)</f>
        <v>0.30769230769230771</v>
      </c>
    </row>
  </sheetData>
  <sheetProtection password="B08D" sheet="1"/>
  <mergeCells count="3">
    <mergeCell ref="A1:D1"/>
    <mergeCell ref="A2:D2"/>
    <mergeCell ref="A19:C19"/>
  </mergeCells>
  <conditionalFormatting sqref="D5:D17">
    <cfRule type="cellIs" dxfId="2" priority="2" operator="greaterThanOrEqual">
      <formula>0.8</formula>
    </cfRule>
    <cfRule type="cellIs" dxfId="1" priority="3" operator="between">
      <formula>0.4</formula>
      <formula>0.79</formula>
    </cfRule>
    <cfRule type="cellIs" dxfId="0" priority="4" operator="lessThan">
      <formula>0.4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INSTRUCCIONES</vt:lpstr>
      <vt:lpstr>CONFIGURACIÓN</vt:lpstr>
      <vt:lpstr>DOFA</vt:lpstr>
      <vt:lpstr>TENDENCIAS</vt:lpstr>
      <vt:lpstr>LÍNEA ESTRATÉGICA 1</vt:lpstr>
      <vt:lpstr>LÍNEA ESTRATÉGICA 2</vt:lpstr>
      <vt:lpstr>LÍNEA ESTRATÉGICA 3</vt:lpstr>
      <vt:lpstr>CASOS DE ÉXITO</vt:lpstr>
      <vt:lpstr>METAS GENERALES</vt:lpstr>
      <vt:lpstr>MONITOREO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Nestor Enrique Forero Herrera</cp:lastModifiedBy>
  <cp:revision>0</cp:revision>
  <dcterms:created xsi:type="dcterms:W3CDTF">2026-03-26T20:39:17Z</dcterms:created>
  <dcterms:modified xsi:type="dcterms:W3CDTF">2026-03-27T03:41:36Z</dcterms:modified>
  <dc:language>en-US</dc:language>
</cp:coreProperties>
</file>